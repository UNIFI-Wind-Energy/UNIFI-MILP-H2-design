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Ex6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PhD\27_Git\0_MILP_design\"/>
    </mc:Choice>
  </mc:AlternateContent>
  <xr:revisionPtr revIDLastSave="0" documentId="13_ncr:1_{1EDCB27A-B1E6-40A6-BFF9-CE4D2BB708A7}" xr6:coauthVersionLast="47" xr6:coauthVersionMax="47" xr10:uidLastSave="{00000000-0000-0000-0000-000000000000}"/>
  <bookViews>
    <workbookView xWindow="-108" yWindow="-108" windowWidth="30936" windowHeight="16776" xr2:uid="{4C699DDE-4542-4FB4-BF7A-C45BB072500C}"/>
  </bookViews>
  <sheets>
    <sheet name="Li-BESS" sheetId="14" r:id="rId1"/>
    <sheet name="ALK EL" sheetId="15" r:id="rId2"/>
    <sheet name="PEM FC" sheetId="18" r:id="rId3"/>
    <sheet name="H2 Tank" sheetId="19" r:id="rId4"/>
    <sheet name="PV" sheetId="17" r:id="rId5"/>
    <sheet name="Onshore WT" sheetId="16" r:id="rId6"/>
  </sheets>
  <definedNames>
    <definedName name="_xlchart.v1.0" hidden="1">'Li-BESS'!$AB$1</definedName>
    <definedName name="_xlchart.v1.1" hidden="1">'Li-BESS'!$AB$2:$AB$123</definedName>
    <definedName name="_xlchart.v1.10" hidden="1">'ALK EL'!$AD$1</definedName>
    <definedName name="_xlchart.v1.11" hidden="1">'ALK EL'!$AD$2:$AD$120</definedName>
    <definedName name="_xlchart.v1.12" hidden="1">'PEM FC'!$AB$1</definedName>
    <definedName name="_xlchart.v1.13" hidden="1">'PEM FC'!$AB$2:$AB$120</definedName>
    <definedName name="_xlchart.v1.14" hidden="1">'PEM FC'!$AC$1</definedName>
    <definedName name="_xlchart.v1.15" hidden="1">'PEM FC'!$AC$2:$AC$120</definedName>
    <definedName name="_xlchart.v1.16" hidden="1">'PEM FC'!$AD$1</definedName>
    <definedName name="_xlchart.v1.17" hidden="1">'PEM FC'!$AD$2:$AD$120</definedName>
    <definedName name="_xlchart.v1.18" hidden="1">'H2 Tank'!$AB$1</definedName>
    <definedName name="_xlchart.v1.19" hidden="1">'H2 Tank'!$AB$2:$AB$120</definedName>
    <definedName name="_xlchart.v1.2" hidden="1">'Li-BESS'!$AC$1</definedName>
    <definedName name="_xlchart.v1.20" hidden="1">'H2 Tank'!$AC$1</definedName>
    <definedName name="_xlchart.v1.21" hidden="1">'H2 Tank'!$AC$2:$AC$120</definedName>
    <definedName name="_xlchart.v1.22" hidden="1">'H2 Tank'!$AD$1</definedName>
    <definedName name="_xlchart.v1.23" hidden="1">'H2 Tank'!$AD$2:$AD$120</definedName>
    <definedName name="_xlchart.v1.24" hidden="1">PV!$AB$1</definedName>
    <definedName name="_xlchart.v1.25" hidden="1">PV!$AB$2:$AB$120</definedName>
    <definedName name="_xlchart.v1.26" hidden="1">PV!$AC$1</definedName>
    <definedName name="_xlchart.v1.27" hidden="1">PV!$AC$2:$AC$120</definedName>
    <definedName name="_xlchart.v1.28" hidden="1">PV!$AD$1</definedName>
    <definedName name="_xlchart.v1.29" hidden="1">PV!$AD$2:$AD$120</definedName>
    <definedName name="_xlchart.v1.3" hidden="1">'Li-BESS'!$AC$2:$AC$123</definedName>
    <definedName name="_xlchart.v1.30" hidden="1">'Onshore WT'!$AB$1</definedName>
    <definedName name="_xlchart.v1.31" hidden="1">'Onshore WT'!$AB$2:$AB$120</definedName>
    <definedName name="_xlchart.v1.32" hidden="1">'Onshore WT'!$AC$1</definedName>
    <definedName name="_xlchart.v1.33" hidden="1">'Onshore WT'!$AC$2:$AC$120</definedName>
    <definedName name="_xlchart.v1.34" hidden="1">'Onshore WT'!$AD$1</definedName>
    <definedName name="_xlchart.v1.35" hidden="1">'Onshore WT'!$AD$2:$AD$120</definedName>
    <definedName name="_xlchart.v1.4" hidden="1">'Li-BESS'!$AD$1</definedName>
    <definedName name="_xlchart.v1.5" hidden="1">'Li-BESS'!$AD$2:$AD$123</definedName>
    <definedName name="_xlchart.v1.6" hidden="1">'ALK EL'!$AB$1</definedName>
    <definedName name="_xlchart.v1.7" hidden="1">'ALK EL'!$AB$2:$AB$120</definedName>
    <definedName name="_xlchart.v1.8" hidden="1">'ALK EL'!$AC$1</definedName>
    <definedName name="_xlchart.v1.9" hidden="1">'ALK EL'!$AC$2:$AC$120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14" l="1"/>
  <c r="L28" i="14"/>
  <c r="J27" i="14"/>
  <c r="J28" i="14"/>
  <c r="M17" i="14"/>
  <c r="M18" i="14"/>
  <c r="M19" i="14"/>
  <c r="J17" i="14"/>
  <c r="L17" i="14" s="1"/>
  <c r="J18" i="14"/>
  <c r="L18" i="14" s="1"/>
  <c r="J19" i="14"/>
  <c r="L19" i="14" s="1"/>
  <c r="N3" i="19"/>
  <c r="N4" i="19"/>
  <c r="N5" i="19"/>
  <c r="N6" i="19"/>
  <c r="N7" i="19"/>
  <c r="N8" i="19"/>
  <c r="N9" i="19"/>
  <c r="N10" i="19"/>
  <c r="N11" i="19"/>
  <c r="N12" i="19"/>
  <c r="AD12" i="19" s="1"/>
  <c r="N13" i="19"/>
  <c r="AD13" i="19" s="1"/>
  <c r="N14" i="19"/>
  <c r="N15" i="19"/>
  <c r="N16" i="19"/>
  <c r="AD16" i="19" s="1"/>
  <c r="N17" i="19"/>
  <c r="N18" i="19"/>
  <c r="N19" i="19"/>
  <c r="N20" i="19"/>
  <c r="N21" i="19"/>
  <c r="AD21" i="19" s="1"/>
  <c r="N22" i="19"/>
  <c r="AD22" i="19" s="1"/>
  <c r="N23" i="19"/>
  <c r="AD23" i="19" s="1"/>
  <c r="N24" i="19"/>
  <c r="AD24" i="19" s="1"/>
  <c r="N25" i="19"/>
  <c r="N26" i="19"/>
  <c r="N27" i="19"/>
  <c r="AD27" i="19" s="1"/>
  <c r="N28" i="19"/>
  <c r="N29" i="19"/>
  <c r="N30" i="19"/>
  <c r="N31" i="19"/>
  <c r="M3" i="19"/>
  <c r="M4" i="19"/>
  <c r="M5" i="19"/>
  <c r="M6" i="19"/>
  <c r="M7" i="19"/>
  <c r="M8" i="19"/>
  <c r="AC8" i="19" s="1"/>
  <c r="M9" i="19"/>
  <c r="AC9" i="19" s="1"/>
  <c r="M10" i="19"/>
  <c r="M11" i="19"/>
  <c r="M12" i="19"/>
  <c r="M13" i="19"/>
  <c r="M14" i="19"/>
  <c r="M15" i="19"/>
  <c r="M16" i="19"/>
  <c r="M17" i="19"/>
  <c r="M18" i="19"/>
  <c r="AC18" i="19" s="1"/>
  <c r="M19" i="19"/>
  <c r="AC19" i="19" s="1"/>
  <c r="M20" i="19"/>
  <c r="M21" i="19"/>
  <c r="AC21" i="19" s="1"/>
  <c r="M22" i="19"/>
  <c r="M23" i="19"/>
  <c r="M25" i="19"/>
  <c r="AC25" i="19" s="1"/>
  <c r="M26" i="19"/>
  <c r="AC26" i="19" s="1"/>
  <c r="M27" i="19"/>
  <c r="M28" i="19"/>
  <c r="M29" i="19"/>
  <c r="M30" i="19"/>
  <c r="M31" i="19"/>
  <c r="L3" i="19"/>
  <c r="L4" i="19"/>
  <c r="L5" i="19"/>
  <c r="L6" i="19"/>
  <c r="L7" i="19"/>
  <c r="L8" i="19"/>
  <c r="L9" i="19"/>
  <c r="L10" i="19"/>
  <c r="L11" i="19"/>
  <c r="L12" i="19"/>
  <c r="AB12" i="19" s="1"/>
  <c r="L13" i="19"/>
  <c r="AB13" i="19" s="1"/>
  <c r="L14" i="19"/>
  <c r="L15" i="19"/>
  <c r="L16" i="19"/>
  <c r="L17" i="19"/>
  <c r="L18" i="19"/>
  <c r="L19" i="19"/>
  <c r="L20" i="19"/>
  <c r="L22" i="19"/>
  <c r="L23" i="19"/>
  <c r="AB23" i="19" s="1"/>
  <c r="L24" i="19"/>
  <c r="AB24" i="19" s="1"/>
  <c r="L25" i="19"/>
  <c r="L26" i="19"/>
  <c r="AB26" i="19" s="1"/>
  <c r="L27" i="19"/>
  <c r="L28" i="19"/>
  <c r="L29" i="19"/>
  <c r="L30" i="19"/>
  <c r="L31" i="19"/>
  <c r="M134" i="19"/>
  <c r="M133" i="19"/>
  <c r="M132" i="19"/>
  <c r="M131" i="19"/>
  <c r="M130" i="19"/>
  <c r="M129" i="19"/>
  <c r="M128" i="19"/>
  <c r="M127" i="19"/>
  <c r="M126" i="19"/>
  <c r="M125" i="19"/>
  <c r="M124" i="19"/>
  <c r="M123" i="19"/>
  <c r="M122" i="19"/>
  <c r="M121" i="19"/>
  <c r="M120" i="19"/>
  <c r="AC120" i="19" s="1"/>
  <c r="J31" i="19"/>
  <c r="AD31" i="19" s="1"/>
  <c r="J30" i="19"/>
  <c r="J29" i="19"/>
  <c r="AD28" i="19"/>
  <c r="J28" i="19"/>
  <c r="J27" i="19"/>
  <c r="J26" i="19"/>
  <c r="J25" i="19"/>
  <c r="J24" i="19"/>
  <c r="M24" i="19" s="1"/>
  <c r="J23" i="19"/>
  <c r="J22" i="19"/>
  <c r="J21" i="19"/>
  <c r="L21" i="19" s="1"/>
  <c r="AB21" i="19" s="1"/>
  <c r="AC20" i="19"/>
  <c r="J20" i="19"/>
  <c r="AB20" i="19" s="1"/>
  <c r="AD19" i="19"/>
  <c r="AB19" i="19"/>
  <c r="J19" i="19"/>
  <c r="J18" i="19"/>
  <c r="J17" i="19"/>
  <c r="J16" i="19"/>
  <c r="AB16" i="19" s="1"/>
  <c r="J15" i="19"/>
  <c r="AB15" i="19" s="1"/>
  <c r="AB14" i="19"/>
  <c r="J14" i="19"/>
  <c r="AD14" i="19" s="1"/>
  <c r="AC13" i="19"/>
  <c r="J13" i="19"/>
  <c r="J12" i="19"/>
  <c r="AC12" i="19" s="1"/>
  <c r="AD11" i="19"/>
  <c r="AC11" i="19"/>
  <c r="J11" i="19"/>
  <c r="AB11" i="19" s="1"/>
  <c r="AD10" i="19"/>
  <c r="AC10" i="19"/>
  <c r="J10" i="19"/>
  <c r="AD9" i="19"/>
  <c r="J9" i="19"/>
  <c r="AD8" i="19"/>
  <c r="J8" i="19"/>
  <c r="AB8" i="19" s="1"/>
  <c r="AD7" i="19"/>
  <c r="AC7" i="19"/>
  <c r="J7" i="19"/>
  <c r="AD6" i="19"/>
  <c r="AC6" i="19"/>
  <c r="J6" i="19"/>
  <c r="AB6" i="19" s="1"/>
  <c r="J5" i="19"/>
  <c r="AB5" i="19" s="1"/>
  <c r="AC4" i="19"/>
  <c r="J4" i="19"/>
  <c r="AB4" i="19" s="1"/>
  <c r="AD3" i="19"/>
  <c r="J3" i="19"/>
  <c r="AB3" i="19" s="1"/>
  <c r="N2" i="19"/>
  <c r="M2" i="19"/>
  <c r="AC2" i="19" s="1"/>
  <c r="J2" i="19"/>
  <c r="L2" i="19" s="1"/>
  <c r="AC134" i="19"/>
  <c r="AC133" i="19"/>
  <c r="AC132" i="19"/>
  <c r="AC131" i="19"/>
  <c r="AC130" i="19"/>
  <c r="AC129" i="19"/>
  <c r="AC128" i="19"/>
  <c r="AC127" i="19"/>
  <c r="AC126" i="19"/>
  <c r="AC125" i="19"/>
  <c r="AC124" i="19"/>
  <c r="AC123" i="19"/>
  <c r="AC122" i="19"/>
  <c r="AC121" i="19"/>
  <c r="AD120" i="19"/>
  <c r="AB120" i="19"/>
  <c r="AD119" i="19"/>
  <c r="AB119" i="19"/>
  <c r="AC119" i="19"/>
  <c r="AD118" i="19"/>
  <c r="AB118" i="19"/>
  <c r="AC118" i="19"/>
  <c r="AD117" i="19"/>
  <c r="AB117" i="19"/>
  <c r="AC117" i="19"/>
  <c r="AD116" i="19"/>
  <c r="AB116" i="19"/>
  <c r="AC116" i="19"/>
  <c r="AD115" i="19"/>
  <c r="AB115" i="19"/>
  <c r="AC115" i="19"/>
  <c r="AD114" i="19"/>
  <c r="AB114" i="19"/>
  <c r="AC114" i="19"/>
  <c r="AD113" i="19"/>
  <c r="AB113" i="19"/>
  <c r="AC113" i="19"/>
  <c r="AD112" i="19"/>
  <c r="AB112" i="19"/>
  <c r="AC112" i="19"/>
  <c r="AD111" i="19"/>
  <c r="AB111" i="19"/>
  <c r="AC111" i="19"/>
  <c r="AD110" i="19"/>
  <c r="AB110" i="19"/>
  <c r="AC110" i="19"/>
  <c r="AD109" i="19"/>
  <c r="AB109" i="19"/>
  <c r="AC109" i="19"/>
  <c r="AD108" i="19"/>
  <c r="AB108" i="19"/>
  <c r="AC108" i="19"/>
  <c r="AD107" i="19"/>
  <c r="AB107" i="19"/>
  <c r="AC107" i="19"/>
  <c r="AD106" i="19"/>
  <c r="AB106" i="19"/>
  <c r="AC106" i="19"/>
  <c r="AD105" i="19"/>
  <c r="AB105" i="19"/>
  <c r="AC105" i="19"/>
  <c r="AD104" i="19"/>
  <c r="AB104" i="19"/>
  <c r="AC104" i="19"/>
  <c r="AD103" i="19"/>
  <c r="AB103" i="19"/>
  <c r="AC103" i="19"/>
  <c r="AD102" i="19"/>
  <c r="AB102" i="19"/>
  <c r="AC102" i="19"/>
  <c r="AD101" i="19"/>
  <c r="AB101" i="19"/>
  <c r="AC101" i="19"/>
  <c r="AD100" i="19"/>
  <c r="AB100" i="19"/>
  <c r="AC100" i="19"/>
  <c r="AB99" i="19"/>
  <c r="AD99" i="19"/>
  <c r="AC99" i="19"/>
  <c r="AD98" i="19"/>
  <c r="AC98" i="19"/>
  <c r="AB98" i="19"/>
  <c r="AB97" i="19"/>
  <c r="AD97" i="19"/>
  <c r="AC97" i="19"/>
  <c r="AB96" i="19"/>
  <c r="AD96" i="19"/>
  <c r="AC96" i="19"/>
  <c r="AB95" i="19"/>
  <c r="AD95" i="19"/>
  <c r="AC95" i="19"/>
  <c r="AB94" i="19"/>
  <c r="AD94" i="19"/>
  <c r="AC94" i="19"/>
  <c r="AD93" i="19"/>
  <c r="AC93" i="19"/>
  <c r="AB93" i="19"/>
  <c r="AB92" i="19"/>
  <c r="AD92" i="19"/>
  <c r="AC92" i="19"/>
  <c r="AB91" i="19"/>
  <c r="AD91" i="19"/>
  <c r="AC91" i="19"/>
  <c r="AD90" i="19"/>
  <c r="AC90" i="19"/>
  <c r="AB90" i="19"/>
  <c r="AB89" i="19"/>
  <c r="AD89" i="19"/>
  <c r="AC89" i="19"/>
  <c r="AD88" i="19"/>
  <c r="AB88" i="19"/>
  <c r="AC88" i="19"/>
  <c r="AB87" i="19"/>
  <c r="AD87" i="19"/>
  <c r="AC87" i="19"/>
  <c r="AC86" i="19"/>
  <c r="AB86" i="19"/>
  <c r="AD86" i="19"/>
  <c r="AC85" i="19"/>
  <c r="AB85" i="19"/>
  <c r="AD85" i="19"/>
  <c r="AB84" i="19"/>
  <c r="AD84" i="19"/>
  <c r="AC84" i="19"/>
  <c r="AB83" i="19"/>
  <c r="AD83" i="19"/>
  <c r="AC83" i="19"/>
  <c r="AB82" i="19"/>
  <c r="AD82" i="19"/>
  <c r="AC82" i="19"/>
  <c r="AB81" i="19"/>
  <c r="AD81" i="19"/>
  <c r="AC81" i="19"/>
  <c r="AB80" i="19"/>
  <c r="AD80" i="19"/>
  <c r="AC80" i="19"/>
  <c r="AD79" i="19"/>
  <c r="AC79" i="19"/>
  <c r="AB79" i="19"/>
  <c r="AB78" i="19"/>
  <c r="AD78" i="19"/>
  <c r="AC78" i="19"/>
  <c r="AB77" i="19"/>
  <c r="AD77" i="19"/>
  <c r="AC77" i="19"/>
  <c r="AB76" i="19"/>
  <c r="AD76" i="19"/>
  <c r="AC76" i="19"/>
  <c r="AB75" i="19"/>
  <c r="AD75" i="19"/>
  <c r="AC75" i="19"/>
  <c r="AD74" i="19"/>
  <c r="AC74" i="19"/>
  <c r="AB74" i="19"/>
  <c r="AB73" i="19"/>
  <c r="AD73" i="19"/>
  <c r="AC73" i="19"/>
  <c r="AB72" i="19"/>
  <c r="AD72" i="19"/>
  <c r="AC72" i="19"/>
  <c r="AB71" i="19"/>
  <c r="AD71" i="19"/>
  <c r="AC71" i="19"/>
  <c r="AB70" i="19"/>
  <c r="AD70" i="19"/>
  <c r="AC70" i="19"/>
  <c r="AD69" i="19"/>
  <c r="AC69" i="19"/>
  <c r="AB69" i="19"/>
  <c r="AB68" i="19"/>
  <c r="AD68" i="19"/>
  <c r="AC68" i="19"/>
  <c r="AB67" i="19"/>
  <c r="AD67" i="19"/>
  <c r="AC67" i="19"/>
  <c r="AB66" i="19"/>
  <c r="AD66" i="19"/>
  <c r="AC66" i="19"/>
  <c r="AB65" i="19"/>
  <c r="AD65" i="19"/>
  <c r="AC65" i="19"/>
  <c r="AD64" i="19"/>
  <c r="AB64" i="19"/>
  <c r="AC64" i="19"/>
  <c r="AB63" i="19"/>
  <c r="AD63" i="19"/>
  <c r="AC63" i="19"/>
  <c r="AD62" i="19"/>
  <c r="AC62" i="19"/>
  <c r="AB62" i="19"/>
  <c r="AB61" i="19"/>
  <c r="AD61" i="19"/>
  <c r="AC61" i="19"/>
  <c r="AB60" i="19"/>
  <c r="AD60" i="19"/>
  <c r="AC60" i="19"/>
  <c r="AB59" i="19"/>
  <c r="AD59" i="19"/>
  <c r="AC59" i="19"/>
  <c r="AB58" i="19"/>
  <c r="AD58" i="19"/>
  <c r="AC58" i="19"/>
  <c r="AB57" i="19"/>
  <c r="AD57" i="19"/>
  <c r="AC57" i="19"/>
  <c r="AD56" i="19"/>
  <c r="AB56" i="19"/>
  <c r="AC56" i="19"/>
  <c r="AC55" i="19"/>
  <c r="AB55" i="19"/>
  <c r="AD55" i="19"/>
  <c r="AB54" i="19"/>
  <c r="AD54" i="19"/>
  <c r="AC54" i="19"/>
  <c r="AC53" i="19"/>
  <c r="AB53" i="19"/>
  <c r="AD53" i="19"/>
  <c r="AC52" i="19"/>
  <c r="AB52" i="19"/>
  <c r="AD52" i="19"/>
  <c r="AC51" i="19"/>
  <c r="AB51" i="19"/>
  <c r="AD51" i="19"/>
  <c r="AD50" i="19"/>
  <c r="AC50" i="19"/>
  <c r="AB50" i="19"/>
  <c r="AD49" i="19"/>
  <c r="AC49" i="19"/>
  <c r="AB49" i="19"/>
  <c r="AC48" i="19"/>
  <c r="AB48" i="19"/>
  <c r="AD48" i="19"/>
  <c r="AC47" i="19"/>
  <c r="AB47" i="19"/>
  <c r="AD47" i="19"/>
  <c r="AC46" i="19"/>
  <c r="AB46" i="19"/>
  <c r="AD46" i="19"/>
  <c r="AD45" i="19"/>
  <c r="AC45" i="19"/>
  <c r="AB45" i="19"/>
  <c r="AD44" i="19"/>
  <c r="AC44" i="19"/>
  <c r="AB44" i="19"/>
  <c r="AD43" i="19"/>
  <c r="AC43" i="19"/>
  <c r="AB43" i="19"/>
  <c r="AC42" i="19"/>
  <c r="AB42" i="19"/>
  <c r="AD42" i="19"/>
  <c r="AC41" i="19"/>
  <c r="AB41" i="19"/>
  <c r="AD41" i="19"/>
  <c r="AC40" i="19"/>
  <c r="AB40" i="19"/>
  <c r="AD40" i="19"/>
  <c r="AC39" i="19"/>
  <c r="AB39" i="19"/>
  <c r="AD39" i="19"/>
  <c r="AD38" i="19"/>
  <c r="AC38" i="19"/>
  <c r="AB38" i="19"/>
  <c r="AD37" i="19"/>
  <c r="AC37" i="19"/>
  <c r="AB37" i="19"/>
  <c r="AC36" i="19"/>
  <c r="AB36" i="19"/>
  <c r="AD36" i="19"/>
  <c r="AC35" i="19"/>
  <c r="AB35" i="19"/>
  <c r="AD35" i="19"/>
  <c r="AC34" i="19"/>
  <c r="AB34" i="19"/>
  <c r="AD34" i="19"/>
  <c r="AC33" i="19"/>
  <c r="AB33" i="19"/>
  <c r="AD33" i="19"/>
  <c r="AC32" i="19"/>
  <c r="AB32" i="19"/>
  <c r="AD32" i="19"/>
  <c r="AC31" i="19"/>
  <c r="AB31" i="19"/>
  <c r="AC30" i="19"/>
  <c r="AB30" i="19"/>
  <c r="AD30" i="19"/>
  <c r="AC29" i="19"/>
  <c r="AB29" i="19"/>
  <c r="AD29" i="19"/>
  <c r="AC28" i="19"/>
  <c r="AB28" i="19"/>
  <c r="AC27" i="19"/>
  <c r="AB27" i="19"/>
  <c r="AB25" i="19"/>
  <c r="AB22" i="19"/>
  <c r="AD20" i="19"/>
  <c r="AD18" i="19"/>
  <c r="AD17" i="19"/>
  <c r="AC17" i="19"/>
  <c r="AC16" i="19"/>
  <c r="AD15" i="19"/>
  <c r="AC15" i="19"/>
  <c r="AC14" i="19"/>
  <c r="AD5" i="19"/>
  <c r="AC5" i="19"/>
  <c r="AD4" i="19"/>
  <c r="M134" i="18"/>
  <c r="M133" i="18"/>
  <c r="M132" i="18"/>
  <c r="M131" i="18"/>
  <c r="M130" i="18"/>
  <c r="M129" i="18"/>
  <c r="M128" i="18"/>
  <c r="M127" i="18"/>
  <c r="M126" i="18"/>
  <c r="M125" i="18"/>
  <c r="M124" i="18"/>
  <c r="M123" i="18"/>
  <c r="M122" i="18"/>
  <c r="M121" i="18"/>
  <c r="M120" i="18"/>
  <c r="AC120" i="18" s="1"/>
  <c r="M119" i="18"/>
  <c r="AC119" i="18" s="1"/>
  <c r="M118" i="18"/>
  <c r="AC118" i="18" s="1"/>
  <c r="M117" i="18"/>
  <c r="AC117" i="18" s="1"/>
  <c r="M116" i="18"/>
  <c r="AC116" i="18" s="1"/>
  <c r="M115" i="18"/>
  <c r="AC115" i="18" s="1"/>
  <c r="M114" i="18"/>
  <c r="AC114" i="18" s="1"/>
  <c r="M113" i="18"/>
  <c r="M112" i="18"/>
  <c r="AC112" i="18" s="1"/>
  <c r="M111" i="18"/>
  <c r="AC111" i="18" s="1"/>
  <c r="M110" i="18"/>
  <c r="M109" i="18"/>
  <c r="AC109" i="18" s="1"/>
  <c r="M108" i="18"/>
  <c r="M107" i="18"/>
  <c r="M106" i="18"/>
  <c r="M105" i="18"/>
  <c r="M104" i="18"/>
  <c r="M103" i="18"/>
  <c r="M102" i="18"/>
  <c r="M101" i="18"/>
  <c r="AC101" i="18" s="1"/>
  <c r="M100" i="18"/>
  <c r="AC100" i="18" s="1"/>
  <c r="N99" i="18"/>
  <c r="AD99" i="18" s="1"/>
  <c r="M99" i="18"/>
  <c r="AC99" i="18" s="1"/>
  <c r="N98" i="18"/>
  <c r="AD98" i="18" s="1"/>
  <c r="M98" i="18"/>
  <c r="AC98" i="18" s="1"/>
  <c r="N97" i="18"/>
  <c r="AD97" i="18" s="1"/>
  <c r="M97" i="18"/>
  <c r="AC97" i="18" s="1"/>
  <c r="N96" i="18"/>
  <c r="M96" i="18"/>
  <c r="N95" i="18"/>
  <c r="M95" i="18"/>
  <c r="N94" i="18"/>
  <c r="M94" i="18"/>
  <c r="AC94" i="18" s="1"/>
  <c r="N93" i="18"/>
  <c r="AD93" i="18" s="1"/>
  <c r="M93" i="18"/>
  <c r="N92" i="18"/>
  <c r="M92" i="18"/>
  <c r="N91" i="18"/>
  <c r="M91" i="18"/>
  <c r="N90" i="18"/>
  <c r="M90" i="18"/>
  <c r="N89" i="18"/>
  <c r="M89" i="18"/>
  <c r="N88" i="18"/>
  <c r="M88" i="18"/>
  <c r="N87" i="18"/>
  <c r="M87" i="18"/>
  <c r="N86" i="18"/>
  <c r="AD86" i="18" s="1"/>
  <c r="M86" i="18"/>
  <c r="N85" i="18"/>
  <c r="AD85" i="18" s="1"/>
  <c r="M85" i="18"/>
  <c r="AC85" i="18" s="1"/>
  <c r="N84" i="18"/>
  <c r="AD84" i="18" s="1"/>
  <c r="M84" i="18"/>
  <c r="AC84" i="18" s="1"/>
  <c r="N83" i="18"/>
  <c r="AD83" i="18" s="1"/>
  <c r="M83" i="18"/>
  <c r="AC83" i="18" s="1"/>
  <c r="N82" i="18"/>
  <c r="AD82" i="18" s="1"/>
  <c r="M82" i="18"/>
  <c r="AC82" i="18" s="1"/>
  <c r="N81" i="18"/>
  <c r="AD81" i="18" s="1"/>
  <c r="M81" i="18"/>
  <c r="N80" i="18"/>
  <c r="M80" i="18"/>
  <c r="N79" i="18"/>
  <c r="M79" i="18"/>
  <c r="N78" i="18"/>
  <c r="M78" i="18"/>
  <c r="N77" i="18"/>
  <c r="M77" i="18"/>
  <c r="AC77" i="18" s="1"/>
  <c r="N76" i="18"/>
  <c r="AD76" i="18" s="1"/>
  <c r="M76" i="18"/>
  <c r="AC76" i="18" s="1"/>
  <c r="N75" i="18"/>
  <c r="AD75" i="18" s="1"/>
  <c r="M75" i="18"/>
  <c r="AC75" i="18" s="1"/>
  <c r="N74" i="18"/>
  <c r="AD74" i="18" s="1"/>
  <c r="M74" i="18"/>
  <c r="AC74" i="18" s="1"/>
  <c r="N73" i="18"/>
  <c r="AD73" i="18" s="1"/>
  <c r="M73" i="18"/>
  <c r="N72" i="18"/>
  <c r="AD72" i="18" s="1"/>
  <c r="M72" i="18"/>
  <c r="AC72" i="18" s="1"/>
  <c r="N71" i="18"/>
  <c r="AD71" i="18" s="1"/>
  <c r="M71" i="18"/>
  <c r="AC71" i="18" s="1"/>
  <c r="N70" i="18"/>
  <c r="AD70" i="18" s="1"/>
  <c r="M70" i="18"/>
  <c r="AC70" i="18" s="1"/>
  <c r="N69" i="18"/>
  <c r="AD69" i="18" s="1"/>
  <c r="M69" i="18"/>
  <c r="N68" i="18"/>
  <c r="M68" i="18"/>
  <c r="N67" i="18"/>
  <c r="M67" i="18"/>
  <c r="N66" i="18"/>
  <c r="M66" i="18"/>
  <c r="N65" i="18"/>
  <c r="M65" i="18"/>
  <c r="N64" i="18"/>
  <c r="M64" i="18"/>
  <c r="N63" i="18"/>
  <c r="M63" i="18"/>
  <c r="AC63" i="18" s="1"/>
  <c r="N62" i="18"/>
  <c r="AD62" i="18" s="1"/>
  <c r="M62" i="18"/>
  <c r="AC62" i="18" s="1"/>
  <c r="N61" i="18"/>
  <c r="AD61" i="18" s="1"/>
  <c r="M61" i="18"/>
  <c r="AC61" i="18" s="1"/>
  <c r="N60" i="18"/>
  <c r="AD60" i="18" s="1"/>
  <c r="M60" i="18"/>
  <c r="AC60" i="18" s="1"/>
  <c r="N59" i="18"/>
  <c r="AD59" i="18" s="1"/>
  <c r="M59" i="18"/>
  <c r="AC59" i="18" s="1"/>
  <c r="N58" i="18"/>
  <c r="AD58" i="18" s="1"/>
  <c r="M58" i="18"/>
  <c r="AC58" i="18" s="1"/>
  <c r="N57" i="18"/>
  <c r="AD57" i="18" s="1"/>
  <c r="M57" i="18"/>
  <c r="N56" i="18"/>
  <c r="M56" i="18"/>
  <c r="N55" i="18"/>
  <c r="M55" i="18"/>
  <c r="N54" i="18"/>
  <c r="M54" i="18"/>
  <c r="N53" i="18"/>
  <c r="AD53" i="18" s="1"/>
  <c r="N52" i="18"/>
  <c r="AD52" i="18" s="1"/>
  <c r="N51" i="18"/>
  <c r="AD51" i="18" s="1"/>
  <c r="N50" i="18"/>
  <c r="AD50" i="18" s="1"/>
  <c r="N49" i="18"/>
  <c r="AD49" i="18" s="1"/>
  <c r="N48" i="18"/>
  <c r="N47" i="18"/>
  <c r="N46" i="18"/>
  <c r="N45" i="18"/>
  <c r="N44" i="18"/>
  <c r="AD44" i="18" s="1"/>
  <c r="N43" i="18"/>
  <c r="AD43" i="18" s="1"/>
  <c r="N42" i="18"/>
  <c r="AD42" i="18" s="1"/>
  <c r="N41" i="18"/>
  <c r="AD41" i="18" s="1"/>
  <c r="N40" i="18"/>
  <c r="AD40" i="18" s="1"/>
  <c r="N39" i="18"/>
  <c r="AD39" i="18" s="1"/>
  <c r="N38" i="18"/>
  <c r="AD38" i="18" s="1"/>
  <c r="N37" i="18"/>
  <c r="AD37" i="18" s="1"/>
  <c r="N36" i="18"/>
  <c r="N35" i="18"/>
  <c r="N34" i="18"/>
  <c r="N33" i="18"/>
  <c r="N32" i="18"/>
  <c r="N31" i="18"/>
  <c r="N30" i="18"/>
  <c r="N29" i="18"/>
  <c r="AD29" i="18" s="1"/>
  <c r="N28" i="18"/>
  <c r="AD28" i="18" s="1"/>
  <c r="N27" i="18"/>
  <c r="AD27" i="18" s="1"/>
  <c r="N26" i="18"/>
  <c r="AD26" i="18" s="1"/>
  <c r="N25" i="18"/>
  <c r="AD25" i="18" s="1"/>
  <c r="N24" i="18"/>
  <c r="AD24" i="18" s="1"/>
  <c r="N23" i="18"/>
  <c r="AD23" i="18" s="1"/>
  <c r="M23" i="18"/>
  <c r="AC23" i="18" s="1"/>
  <c r="N22" i="18"/>
  <c r="AD22" i="18" s="1"/>
  <c r="M22" i="18"/>
  <c r="AC22" i="18" s="1"/>
  <c r="N21" i="18"/>
  <c r="AD21" i="18" s="1"/>
  <c r="M21" i="18"/>
  <c r="AC21" i="18" s="1"/>
  <c r="N20" i="18"/>
  <c r="AD20" i="18" s="1"/>
  <c r="M20" i="18"/>
  <c r="AC20" i="18" s="1"/>
  <c r="J20" i="18"/>
  <c r="L20" i="18" s="1"/>
  <c r="AB20" i="18" s="1"/>
  <c r="N19" i="18"/>
  <c r="AD19" i="18" s="1"/>
  <c r="L19" i="18"/>
  <c r="J19" i="18"/>
  <c r="M19" i="18" s="1"/>
  <c r="AC19" i="18" s="1"/>
  <c r="N18" i="18"/>
  <c r="M18" i="18"/>
  <c r="J18" i="18"/>
  <c r="L18" i="18" s="1"/>
  <c r="AB18" i="18" s="1"/>
  <c r="N17" i="18"/>
  <c r="L17" i="18"/>
  <c r="J17" i="18"/>
  <c r="M17" i="18" s="1"/>
  <c r="AC17" i="18" s="1"/>
  <c r="N16" i="18"/>
  <c r="M16" i="18"/>
  <c r="J16" i="18"/>
  <c r="L16" i="18" s="1"/>
  <c r="AB16" i="18" s="1"/>
  <c r="N15" i="18"/>
  <c r="L15" i="18"/>
  <c r="J15" i="18"/>
  <c r="M15" i="18" s="1"/>
  <c r="AC15" i="18" s="1"/>
  <c r="N14" i="18"/>
  <c r="AD14" i="18" s="1"/>
  <c r="L14" i="18"/>
  <c r="AB14" i="18" s="1"/>
  <c r="J14" i="18"/>
  <c r="M14" i="18" s="1"/>
  <c r="AC14" i="18" s="1"/>
  <c r="N13" i="18"/>
  <c r="AD13" i="18" s="1"/>
  <c r="M13" i="18"/>
  <c r="AC13" i="18" s="1"/>
  <c r="J13" i="18"/>
  <c r="L13" i="18" s="1"/>
  <c r="AB13" i="18" s="1"/>
  <c r="N12" i="18"/>
  <c r="L12" i="18"/>
  <c r="AB12" i="18" s="1"/>
  <c r="J12" i="18"/>
  <c r="M12" i="18" s="1"/>
  <c r="AC12" i="18" s="1"/>
  <c r="N11" i="18"/>
  <c r="AD11" i="18" s="1"/>
  <c r="L11" i="18"/>
  <c r="AB11" i="18" s="1"/>
  <c r="J11" i="18"/>
  <c r="M11" i="18" s="1"/>
  <c r="AC11" i="18" s="1"/>
  <c r="M10" i="18"/>
  <c r="AC10" i="18" s="1"/>
  <c r="L10" i="18"/>
  <c r="AB10" i="18" s="1"/>
  <c r="J10" i="18"/>
  <c r="N10" i="18" s="1"/>
  <c r="AD10" i="18" s="1"/>
  <c r="N9" i="18"/>
  <c r="AD9" i="18" s="1"/>
  <c r="M9" i="18"/>
  <c r="AC9" i="18" s="1"/>
  <c r="J9" i="18"/>
  <c r="L9" i="18" s="1"/>
  <c r="AB9" i="18" s="1"/>
  <c r="N8" i="18"/>
  <c r="AD8" i="18" s="1"/>
  <c r="M8" i="18"/>
  <c r="AC8" i="18" s="1"/>
  <c r="J8" i="18"/>
  <c r="L8" i="18" s="1"/>
  <c r="AB8" i="18" s="1"/>
  <c r="N7" i="18"/>
  <c r="AD7" i="18" s="1"/>
  <c r="M7" i="18"/>
  <c r="L7" i="18"/>
  <c r="J7" i="18"/>
  <c r="M6" i="18"/>
  <c r="L6" i="18"/>
  <c r="J6" i="18"/>
  <c r="N6" i="18" s="1"/>
  <c r="AD6" i="18" s="1"/>
  <c r="N5" i="18"/>
  <c r="L5" i="18"/>
  <c r="AB5" i="18" s="1"/>
  <c r="J5" i="18"/>
  <c r="M5" i="18" s="1"/>
  <c r="N4" i="18"/>
  <c r="AD4" i="18" s="1"/>
  <c r="L4" i="18"/>
  <c r="AB4" i="18" s="1"/>
  <c r="J4" i="18"/>
  <c r="M4" i="18" s="1"/>
  <c r="AC4" i="18" s="1"/>
  <c r="N3" i="18"/>
  <c r="AD3" i="18" s="1"/>
  <c r="M3" i="18"/>
  <c r="AC3" i="18" s="1"/>
  <c r="J3" i="18"/>
  <c r="L3" i="18" s="1"/>
  <c r="AB3" i="18" s="1"/>
  <c r="N2" i="18"/>
  <c r="M2" i="18"/>
  <c r="J2" i="18"/>
  <c r="L2" i="18" s="1"/>
  <c r="AB2" i="18" s="1"/>
  <c r="AC134" i="18"/>
  <c r="AC133" i="18"/>
  <c r="AC132" i="18"/>
  <c r="AC131" i="18"/>
  <c r="AC130" i="18"/>
  <c r="AC129" i="18"/>
  <c r="AC128" i="18"/>
  <c r="AC127" i="18"/>
  <c r="AC126" i="18"/>
  <c r="AC125" i="18"/>
  <c r="AC124" i="18"/>
  <c r="AC123" i="18"/>
  <c r="AC122" i="18"/>
  <c r="AC121" i="18"/>
  <c r="AD120" i="18"/>
  <c r="AB120" i="18"/>
  <c r="AD119" i="18"/>
  <c r="AB119" i="18"/>
  <c r="AD118" i="18"/>
  <c r="AB118" i="18"/>
  <c r="AD117" i="18"/>
  <c r="AB117" i="18"/>
  <c r="AD116" i="18"/>
  <c r="AB116" i="18"/>
  <c r="AD115" i="18"/>
  <c r="AB115" i="18"/>
  <c r="AD114" i="18"/>
  <c r="AB114" i="18"/>
  <c r="AD113" i="18"/>
  <c r="AB113" i="18"/>
  <c r="AC113" i="18"/>
  <c r="AD112" i="18"/>
  <c r="AB112" i="18"/>
  <c r="AD111" i="18"/>
  <c r="AB111" i="18"/>
  <c r="AD110" i="18"/>
  <c r="AB110" i="18"/>
  <c r="AC110" i="18"/>
  <c r="AD109" i="18"/>
  <c r="AB109" i="18"/>
  <c r="AD108" i="18"/>
  <c r="AC108" i="18"/>
  <c r="AB108" i="18"/>
  <c r="AD107" i="18"/>
  <c r="AB107" i="18"/>
  <c r="AC107" i="18"/>
  <c r="AD106" i="18"/>
  <c r="AB106" i="18"/>
  <c r="AC106" i="18"/>
  <c r="AD105" i="18"/>
  <c r="AB105" i="18"/>
  <c r="AC105" i="18"/>
  <c r="AD104" i="18"/>
  <c r="AB104" i="18"/>
  <c r="AC104" i="18"/>
  <c r="AD103" i="18"/>
  <c r="AB103" i="18"/>
  <c r="AC103" i="18"/>
  <c r="AD102" i="18"/>
  <c r="AC102" i="18"/>
  <c r="AB102" i="18"/>
  <c r="AD101" i="18"/>
  <c r="AB101" i="18"/>
  <c r="AD100" i="18"/>
  <c r="AB100" i="18"/>
  <c r="AB99" i="18"/>
  <c r="AB98" i="18"/>
  <c r="AB97" i="18"/>
  <c r="AB96" i="18"/>
  <c r="AD96" i="18"/>
  <c r="AC96" i="18"/>
  <c r="AD95" i="18"/>
  <c r="AB95" i="18"/>
  <c r="AC95" i="18"/>
  <c r="AB94" i="18"/>
  <c r="AD94" i="18"/>
  <c r="AC93" i="18"/>
  <c r="AB93" i="18"/>
  <c r="AB92" i="18"/>
  <c r="AD92" i="18"/>
  <c r="AC92" i="18"/>
  <c r="AB91" i="18"/>
  <c r="AD91" i="18"/>
  <c r="AC91" i="18"/>
  <c r="AB90" i="18"/>
  <c r="AD90" i="18"/>
  <c r="AC90" i="18"/>
  <c r="AB89" i="18"/>
  <c r="AD89" i="18"/>
  <c r="AC89" i="18"/>
  <c r="AD88" i="18"/>
  <c r="AB88" i="18"/>
  <c r="AC88" i="18"/>
  <c r="AC87" i="18"/>
  <c r="AB87" i="18"/>
  <c r="AD87" i="18"/>
  <c r="AC86" i="18"/>
  <c r="AB86" i="18"/>
  <c r="AB85" i="18"/>
  <c r="AB84" i="18"/>
  <c r="AB83" i="18"/>
  <c r="AB82" i="18"/>
  <c r="AC81" i="18"/>
  <c r="AB81" i="18"/>
  <c r="AB80" i="18"/>
  <c r="AD80" i="18"/>
  <c r="AC80" i="18"/>
  <c r="AC79" i="18"/>
  <c r="AB79" i="18"/>
  <c r="AD79" i="18"/>
  <c r="AB78" i="18"/>
  <c r="AD78" i="18"/>
  <c r="AC78" i="18"/>
  <c r="AB77" i="18"/>
  <c r="AD77" i="18"/>
  <c r="AB76" i="18"/>
  <c r="AB75" i="18"/>
  <c r="AB74" i="18"/>
  <c r="AB73" i="18"/>
  <c r="AC73" i="18"/>
  <c r="AB72" i="18"/>
  <c r="AB71" i="18"/>
  <c r="AB70" i="18"/>
  <c r="AC69" i="18"/>
  <c r="AB69" i="18"/>
  <c r="AB68" i="18"/>
  <c r="AD68" i="18"/>
  <c r="AC68" i="18"/>
  <c r="AB67" i="18"/>
  <c r="AD67" i="18"/>
  <c r="AC67" i="18"/>
  <c r="AB66" i="18"/>
  <c r="AD66" i="18"/>
  <c r="AC66" i="18"/>
  <c r="AB65" i="18"/>
  <c r="AD65" i="18"/>
  <c r="AC65" i="18"/>
  <c r="AD64" i="18"/>
  <c r="AB64" i="18"/>
  <c r="AC64" i="18"/>
  <c r="AB63" i="18"/>
  <c r="AD63" i="18"/>
  <c r="AB62" i="18"/>
  <c r="AB61" i="18"/>
  <c r="AB60" i="18"/>
  <c r="AB59" i="18"/>
  <c r="AB58" i="18"/>
  <c r="AC57" i="18"/>
  <c r="AB57" i="18"/>
  <c r="AB56" i="18"/>
  <c r="AD56" i="18"/>
  <c r="AC56" i="18"/>
  <c r="AC55" i="18"/>
  <c r="AB55" i="18"/>
  <c r="AD55" i="18"/>
  <c r="AB54" i="18"/>
  <c r="AD54" i="18"/>
  <c r="AC54" i="18"/>
  <c r="AC53" i="18"/>
  <c r="AB53" i="18"/>
  <c r="AC52" i="18"/>
  <c r="AB52" i="18"/>
  <c r="AC51" i="18"/>
  <c r="AB51" i="18"/>
  <c r="AC50" i="18"/>
  <c r="AB50" i="18"/>
  <c r="AC49" i="18"/>
  <c r="AB49" i="18"/>
  <c r="AC48" i="18"/>
  <c r="AB48" i="18"/>
  <c r="AD48" i="18"/>
  <c r="AC47" i="18"/>
  <c r="AB47" i="18"/>
  <c r="AD47" i="18"/>
  <c r="AC46" i="18"/>
  <c r="AB46" i="18"/>
  <c r="AD46" i="18"/>
  <c r="AB45" i="18"/>
  <c r="AD45" i="18"/>
  <c r="AC45" i="18"/>
  <c r="AB44" i="18"/>
  <c r="AC44" i="18"/>
  <c r="AC43" i="18"/>
  <c r="AB43" i="18"/>
  <c r="AC42" i="18"/>
  <c r="AB42" i="18"/>
  <c r="AC41" i="18"/>
  <c r="AB41" i="18"/>
  <c r="AC40" i="18"/>
  <c r="AB40" i="18"/>
  <c r="AB39" i="18"/>
  <c r="AC39" i="18"/>
  <c r="AB38" i="18"/>
  <c r="AC38" i="18"/>
  <c r="AC37" i="18"/>
  <c r="AB37" i="18"/>
  <c r="AD36" i="18"/>
  <c r="AC36" i="18"/>
  <c r="AB36" i="18"/>
  <c r="AD35" i="18"/>
  <c r="AC35" i="18"/>
  <c r="AB35" i="18"/>
  <c r="AD34" i="18"/>
  <c r="AC34" i="18"/>
  <c r="AB34" i="18"/>
  <c r="AD33" i="18"/>
  <c r="AC33" i="18"/>
  <c r="AB33" i="18"/>
  <c r="AD32" i="18"/>
  <c r="AB32" i="18"/>
  <c r="AC32" i="18"/>
  <c r="AD31" i="18"/>
  <c r="AC31" i="18"/>
  <c r="AB31" i="18"/>
  <c r="AD30" i="18"/>
  <c r="AB30" i="18"/>
  <c r="AC30" i="18"/>
  <c r="AC29" i="18"/>
  <c r="AB29" i="18"/>
  <c r="AC28" i="18"/>
  <c r="AB28" i="18"/>
  <c r="AC27" i="18"/>
  <c r="AB27" i="18"/>
  <c r="AB26" i="18"/>
  <c r="AC26" i="18"/>
  <c r="AC25" i="18"/>
  <c r="AB25" i="18"/>
  <c r="AC24" i="18"/>
  <c r="AB24" i="18"/>
  <c r="AB23" i="18"/>
  <c r="AB22" i="18"/>
  <c r="AB21" i="18"/>
  <c r="AB19" i="18"/>
  <c r="AC18" i="18"/>
  <c r="AD18" i="18"/>
  <c r="AB17" i="18"/>
  <c r="AD17" i="18"/>
  <c r="AD16" i="18"/>
  <c r="AC16" i="18"/>
  <c r="AD15" i="18"/>
  <c r="AB15" i="18"/>
  <c r="AD12" i="18"/>
  <c r="AC7" i="18"/>
  <c r="AB7" i="18"/>
  <c r="AC6" i="18"/>
  <c r="AB6" i="18"/>
  <c r="AD5" i="18"/>
  <c r="AC5" i="18"/>
  <c r="M134" i="17"/>
  <c r="M133" i="17"/>
  <c r="M132" i="17"/>
  <c r="M131" i="17"/>
  <c r="M130" i="17"/>
  <c r="M129" i="17"/>
  <c r="M128" i="17"/>
  <c r="M127" i="17"/>
  <c r="M126" i="17"/>
  <c r="M125" i="17"/>
  <c r="M124" i="17"/>
  <c r="M123" i="17"/>
  <c r="M122" i="17"/>
  <c r="M121" i="17"/>
  <c r="M120" i="17"/>
  <c r="AC120" i="17" s="1"/>
  <c r="M119" i="17"/>
  <c r="AC119" i="17" s="1"/>
  <c r="M118" i="17"/>
  <c r="AC118" i="17" s="1"/>
  <c r="M117" i="17"/>
  <c r="AC117" i="17" s="1"/>
  <c r="M116" i="17"/>
  <c r="AC116" i="17" s="1"/>
  <c r="M115" i="17"/>
  <c r="M114" i="17"/>
  <c r="M113" i="17"/>
  <c r="AC113" i="17" s="1"/>
  <c r="M112" i="17"/>
  <c r="AC112" i="17" s="1"/>
  <c r="M111" i="17"/>
  <c r="AC111" i="17" s="1"/>
  <c r="M110" i="17"/>
  <c r="M109" i="17"/>
  <c r="M108" i="17"/>
  <c r="M107" i="17"/>
  <c r="M106" i="17"/>
  <c r="M105" i="17"/>
  <c r="AC105" i="17" s="1"/>
  <c r="M104" i="17"/>
  <c r="AC104" i="17" s="1"/>
  <c r="M103" i="17"/>
  <c r="M102" i="17"/>
  <c r="M101" i="17"/>
  <c r="M100" i="17"/>
  <c r="N99" i="17"/>
  <c r="M99" i="17"/>
  <c r="N98" i="17"/>
  <c r="M98" i="17"/>
  <c r="N97" i="17"/>
  <c r="AD97" i="17" s="1"/>
  <c r="M97" i="17"/>
  <c r="AC97" i="17" s="1"/>
  <c r="N96" i="17"/>
  <c r="AD96" i="17" s="1"/>
  <c r="M96" i="17"/>
  <c r="AC96" i="17" s="1"/>
  <c r="N95" i="17"/>
  <c r="AD95" i="17" s="1"/>
  <c r="M95" i="17"/>
  <c r="AC95" i="17" s="1"/>
  <c r="N94" i="17"/>
  <c r="AD94" i="17" s="1"/>
  <c r="M94" i="17"/>
  <c r="AC94" i="17" s="1"/>
  <c r="N93" i="17"/>
  <c r="AD93" i="17" s="1"/>
  <c r="M93" i="17"/>
  <c r="N92" i="17"/>
  <c r="M92" i="17"/>
  <c r="N91" i="17"/>
  <c r="M91" i="17"/>
  <c r="N90" i="17"/>
  <c r="M90" i="17"/>
  <c r="N89" i="17"/>
  <c r="AD89" i="17" s="1"/>
  <c r="M89" i="17"/>
  <c r="AC89" i="17" s="1"/>
  <c r="N88" i="17"/>
  <c r="AD88" i="17" s="1"/>
  <c r="M88" i="17"/>
  <c r="AC88" i="17" s="1"/>
  <c r="N87" i="17"/>
  <c r="AD87" i="17" s="1"/>
  <c r="M87" i="17"/>
  <c r="AC87" i="17" s="1"/>
  <c r="N86" i="17"/>
  <c r="AD86" i="17" s="1"/>
  <c r="M86" i="17"/>
  <c r="AC86" i="17" s="1"/>
  <c r="N85" i="17"/>
  <c r="AD85" i="17" s="1"/>
  <c r="M85" i="17"/>
  <c r="AC85" i="17" s="1"/>
  <c r="N84" i="17"/>
  <c r="AD84" i="17" s="1"/>
  <c r="M84" i="17"/>
  <c r="AC84" i="17" s="1"/>
  <c r="N83" i="17"/>
  <c r="AD83" i="17" s="1"/>
  <c r="M83" i="17"/>
  <c r="AC83" i="17" s="1"/>
  <c r="N82" i="17"/>
  <c r="AD82" i="17" s="1"/>
  <c r="M82" i="17"/>
  <c r="N81" i="17"/>
  <c r="AD81" i="17" s="1"/>
  <c r="M81" i="17"/>
  <c r="N80" i="17"/>
  <c r="M80" i="17"/>
  <c r="N79" i="17"/>
  <c r="M79" i="17"/>
  <c r="N78" i="17"/>
  <c r="M78" i="17"/>
  <c r="N77" i="17"/>
  <c r="M77" i="17"/>
  <c r="N76" i="17"/>
  <c r="M76" i="17"/>
  <c r="N75" i="17"/>
  <c r="M75" i="17"/>
  <c r="N74" i="17"/>
  <c r="M74" i="17"/>
  <c r="N73" i="17"/>
  <c r="AD73" i="17" s="1"/>
  <c r="M73" i="17"/>
  <c r="AC73" i="17" s="1"/>
  <c r="N72" i="17"/>
  <c r="AD72" i="17" s="1"/>
  <c r="M72" i="17"/>
  <c r="AC72" i="17" s="1"/>
  <c r="N71" i="17"/>
  <c r="AD71" i="17" s="1"/>
  <c r="M71" i="17"/>
  <c r="AC71" i="17" s="1"/>
  <c r="N70" i="17"/>
  <c r="AD70" i="17" s="1"/>
  <c r="M70" i="17"/>
  <c r="AC70" i="17" s="1"/>
  <c r="N69" i="17"/>
  <c r="AD69" i="17" s="1"/>
  <c r="M69" i="17"/>
  <c r="N68" i="17"/>
  <c r="M68" i="17"/>
  <c r="N67" i="17"/>
  <c r="M67" i="17"/>
  <c r="N66" i="17"/>
  <c r="M66" i="17"/>
  <c r="N65" i="17"/>
  <c r="AD65" i="17" s="1"/>
  <c r="M65" i="17"/>
  <c r="AC65" i="17" s="1"/>
  <c r="N64" i="17"/>
  <c r="AD64" i="17" s="1"/>
  <c r="M64" i="17"/>
  <c r="AC64" i="17" s="1"/>
  <c r="N63" i="17"/>
  <c r="AD63" i="17" s="1"/>
  <c r="M63" i="17"/>
  <c r="AC63" i="17" s="1"/>
  <c r="N62" i="17"/>
  <c r="AD62" i="17" s="1"/>
  <c r="M62" i="17"/>
  <c r="AC62" i="17" s="1"/>
  <c r="N61" i="17"/>
  <c r="AD61" i="17" s="1"/>
  <c r="M61" i="17"/>
  <c r="AC61" i="17" s="1"/>
  <c r="N60" i="17"/>
  <c r="AD60" i="17" s="1"/>
  <c r="M60" i="17"/>
  <c r="AC60" i="17" s="1"/>
  <c r="N59" i="17"/>
  <c r="M59" i="17"/>
  <c r="N58" i="17"/>
  <c r="M58" i="17"/>
  <c r="N57" i="17"/>
  <c r="AD57" i="17" s="1"/>
  <c r="M57" i="17"/>
  <c r="N56" i="17"/>
  <c r="M56" i="17"/>
  <c r="N55" i="17"/>
  <c r="M55" i="17"/>
  <c r="N54" i="17"/>
  <c r="M54" i="17"/>
  <c r="N53" i="17"/>
  <c r="N52" i="17"/>
  <c r="N51" i="17"/>
  <c r="N50" i="17"/>
  <c r="N49" i="17"/>
  <c r="AD49" i="17" s="1"/>
  <c r="N48" i="17"/>
  <c r="AD48" i="17" s="1"/>
  <c r="N47" i="17"/>
  <c r="AD47" i="17" s="1"/>
  <c r="N46" i="17"/>
  <c r="AD46" i="17" s="1"/>
  <c r="N45" i="17"/>
  <c r="AD45" i="17" s="1"/>
  <c r="N44" i="17"/>
  <c r="N43" i="17"/>
  <c r="N42" i="17"/>
  <c r="N41" i="17"/>
  <c r="AD41" i="17" s="1"/>
  <c r="N40" i="17"/>
  <c r="AD40" i="17" s="1"/>
  <c r="N39" i="17"/>
  <c r="AD39" i="17" s="1"/>
  <c r="N38" i="17"/>
  <c r="AD38" i="17" s="1"/>
  <c r="N37" i="17"/>
  <c r="AD37" i="17" s="1"/>
  <c r="N36" i="17"/>
  <c r="N35" i="17"/>
  <c r="N34" i="17"/>
  <c r="N33" i="17"/>
  <c r="AD33" i="17" s="1"/>
  <c r="N32" i="17"/>
  <c r="N31" i="17"/>
  <c r="N30" i="17"/>
  <c r="N29" i="17"/>
  <c r="N28" i="17"/>
  <c r="N27" i="17"/>
  <c r="N26" i="17"/>
  <c r="N25" i="17"/>
  <c r="AD25" i="17" s="1"/>
  <c r="N24" i="17"/>
  <c r="AD24" i="17" s="1"/>
  <c r="N19" i="17"/>
  <c r="M19" i="17"/>
  <c r="J19" i="17"/>
  <c r="L19" i="17" s="1"/>
  <c r="AB19" i="17" s="1"/>
  <c r="N18" i="17"/>
  <c r="M18" i="17"/>
  <c r="J18" i="17"/>
  <c r="L18" i="17" s="1"/>
  <c r="AB18" i="17" s="1"/>
  <c r="N17" i="17"/>
  <c r="AD17" i="17" s="1"/>
  <c r="M17" i="17"/>
  <c r="AC17" i="17" s="1"/>
  <c r="L17" i="17"/>
  <c r="AB17" i="17" s="1"/>
  <c r="J17" i="17"/>
  <c r="N16" i="17"/>
  <c r="M16" i="17"/>
  <c r="J16" i="17"/>
  <c r="L16" i="17" s="1"/>
  <c r="AB16" i="17" s="1"/>
  <c r="N15" i="17"/>
  <c r="AD15" i="17" s="1"/>
  <c r="M15" i="17"/>
  <c r="AC15" i="17" s="1"/>
  <c r="J15" i="17"/>
  <c r="L15" i="17" s="1"/>
  <c r="AB15" i="17" s="1"/>
  <c r="N14" i="17"/>
  <c r="M14" i="17"/>
  <c r="J14" i="17"/>
  <c r="L14" i="17" s="1"/>
  <c r="AB14" i="17" s="1"/>
  <c r="M13" i="17"/>
  <c r="AC13" i="17" s="1"/>
  <c r="L13" i="17"/>
  <c r="AB13" i="17" s="1"/>
  <c r="J13" i="17"/>
  <c r="N13" i="17" s="1"/>
  <c r="AD13" i="17" s="1"/>
  <c r="M12" i="17"/>
  <c r="AC12" i="17" s="1"/>
  <c r="L12" i="17"/>
  <c r="AB12" i="17" s="1"/>
  <c r="J12" i="17"/>
  <c r="N12" i="17" s="1"/>
  <c r="AD12" i="17" s="1"/>
  <c r="N11" i="17"/>
  <c r="AD11" i="17" s="1"/>
  <c r="M11" i="17"/>
  <c r="AC11" i="17" s="1"/>
  <c r="L11" i="17"/>
  <c r="AB11" i="17" s="1"/>
  <c r="J11" i="17"/>
  <c r="N10" i="17"/>
  <c r="L10" i="17"/>
  <c r="J10" i="17"/>
  <c r="M10" i="17" s="1"/>
  <c r="AC10" i="17" s="1"/>
  <c r="N9" i="17"/>
  <c r="AD9" i="17" s="1"/>
  <c r="M9" i="17"/>
  <c r="AC9" i="17" s="1"/>
  <c r="J9" i="17"/>
  <c r="L9" i="17" s="1"/>
  <c r="AB9" i="17" s="1"/>
  <c r="M8" i="17"/>
  <c r="AC8" i="17" s="1"/>
  <c r="L8" i="17"/>
  <c r="AB8" i="17" s="1"/>
  <c r="J8" i="17"/>
  <c r="N8" i="17" s="1"/>
  <c r="AD8" i="17" s="1"/>
  <c r="M7" i="17"/>
  <c r="AC7" i="17" s="1"/>
  <c r="L7" i="17"/>
  <c r="AB7" i="17" s="1"/>
  <c r="J7" i="17"/>
  <c r="N7" i="17" s="1"/>
  <c r="AD7" i="17" s="1"/>
  <c r="N6" i="17"/>
  <c r="AD6" i="17" s="1"/>
  <c r="L6" i="17"/>
  <c r="AB6" i="17" s="1"/>
  <c r="J6" i="17"/>
  <c r="M6" i="17" s="1"/>
  <c r="AC6" i="17" s="1"/>
  <c r="N5" i="17"/>
  <c r="AD5" i="17" s="1"/>
  <c r="M5" i="17"/>
  <c r="AC5" i="17" s="1"/>
  <c r="L5" i="17"/>
  <c r="AB5" i="17" s="1"/>
  <c r="J5" i="17"/>
  <c r="N4" i="17"/>
  <c r="M4" i="17"/>
  <c r="J4" i="17"/>
  <c r="L4" i="17" s="1"/>
  <c r="AB4" i="17" s="1"/>
  <c r="N3" i="17"/>
  <c r="M3" i="17"/>
  <c r="J3" i="17"/>
  <c r="L3" i="17" s="1"/>
  <c r="AB3" i="17" s="1"/>
  <c r="N2" i="17"/>
  <c r="M2" i="17"/>
  <c r="J2" i="17"/>
  <c r="L2" i="17" s="1"/>
  <c r="AC134" i="17"/>
  <c r="AC133" i="17"/>
  <c r="AC132" i="17"/>
  <c r="AC131" i="17"/>
  <c r="AC130" i="17"/>
  <c r="AC129" i="17"/>
  <c r="AC128" i="17"/>
  <c r="AC127" i="17"/>
  <c r="AC126" i="17"/>
  <c r="AC125" i="17"/>
  <c r="AC124" i="17"/>
  <c r="AC123" i="17"/>
  <c r="AC122" i="17"/>
  <c r="AC121" i="17"/>
  <c r="AD120" i="17"/>
  <c r="AB120" i="17"/>
  <c r="AD119" i="17"/>
  <c r="AB119" i="17"/>
  <c r="AD118" i="17"/>
  <c r="AB118" i="17"/>
  <c r="AD117" i="17"/>
  <c r="AB117" i="17"/>
  <c r="AD116" i="17"/>
  <c r="AB116" i="17"/>
  <c r="AD115" i="17"/>
  <c r="AB115" i="17"/>
  <c r="AC115" i="17"/>
  <c r="AD114" i="17"/>
  <c r="AC114" i="17"/>
  <c r="AB114" i="17"/>
  <c r="AD113" i="17"/>
  <c r="AB113" i="17"/>
  <c r="AD112" i="17"/>
  <c r="AB112" i="17"/>
  <c r="AD111" i="17"/>
  <c r="AB111" i="17"/>
  <c r="AD110" i="17"/>
  <c r="AB110" i="17"/>
  <c r="AC110" i="17"/>
  <c r="AD109" i="17"/>
  <c r="AB109" i="17"/>
  <c r="AC109" i="17"/>
  <c r="AD108" i="17"/>
  <c r="AC108" i="17"/>
  <c r="AB108" i="17"/>
  <c r="AD107" i="17"/>
  <c r="AB107" i="17"/>
  <c r="AC107" i="17"/>
  <c r="AD106" i="17"/>
  <c r="AB106" i="17"/>
  <c r="AC106" i="17"/>
  <c r="AD105" i="17"/>
  <c r="AB105" i="17"/>
  <c r="AD104" i="17"/>
  <c r="AB104" i="17"/>
  <c r="AD103" i="17"/>
  <c r="AB103" i="17"/>
  <c r="AC103" i="17"/>
  <c r="AD102" i="17"/>
  <c r="AC102" i="17"/>
  <c r="AB102" i="17"/>
  <c r="AD101" i="17"/>
  <c r="AB101" i="17"/>
  <c r="AC101" i="17"/>
  <c r="AD100" i="17"/>
  <c r="AB100" i="17"/>
  <c r="AC100" i="17"/>
  <c r="AB99" i="17"/>
  <c r="AD99" i="17"/>
  <c r="AC99" i="17"/>
  <c r="AD98" i="17"/>
  <c r="AC98" i="17"/>
  <c r="AB98" i="17"/>
  <c r="AB97" i="17"/>
  <c r="AB96" i="17"/>
  <c r="AB95" i="17"/>
  <c r="AB94" i="17"/>
  <c r="AC93" i="17"/>
  <c r="AB93" i="17"/>
  <c r="AB92" i="17"/>
  <c r="AD92" i="17"/>
  <c r="AC92" i="17"/>
  <c r="AB91" i="17"/>
  <c r="AD91" i="17"/>
  <c r="AC91" i="17"/>
  <c r="AB90" i="17"/>
  <c r="AD90" i="17"/>
  <c r="AC90" i="17"/>
  <c r="AB89" i="17"/>
  <c r="AB88" i="17"/>
  <c r="AB87" i="17"/>
  <c r="AB86" i="17"/>
  <c r="AB85" i="17"/>
  <c r="AB84" i="17"/>
  <c r="AB83" i="17"/>
  <c r="AB82" i="17"/>
  <c r="AC82" i="17"/>
  <c r="AC81" i="17"/>
  <c r="AB81" i="17"/>
  <c r="AB80" i="17"/>
  <c r="AD80" i="17"/>
  <c r="AC80" i="17"/>
  <c r="AC79" i="17"/>
  <c r="AB79" i="17"/>
  <c r="AD79" i="17"/>
  <c r="AB78" i="17"/>
  <c r="AD78" i="17"/>
  <c r="AC78" i="17"/>
  <c r="AB77" i="17"/>
  <c r="AD77" i="17"/>
  <c r="AC77" i="17"/>
  <c r="AD76" i="17"/>
  <c r="AC76" i="17"/>
  <c r="AB76" i="17"/>
  <c r="AB75" i="17"/>
  <c r="AD75" i="17"/>
  <c r="AC75" i="17"/>
  <c r="AD74" i="17"/>
  <c r="AC74" i="17"/>
  <c r="AB74" i="17"/>
  <c r="AB73" i="17"/>
  <c r="AB72" i="17"/>
  <c r="AB71" i="17"/>
  <c r="AB70" i="17"/>
  <c r="AC69" i="17"/>
  <c r="AB69" i="17"/>
  <c r="AB68" i="17"/>
  <c r="AD68" i="17"/>
  <c r="AC68" i="17"/>
  <c r="AB67" i="17"/>
  <c r="AD67" i="17"/>
  <c r="AC67" i="17"/>
  <c r="AB66" i="17"/>
  <c r="AD66" i="17"/>
  <c r="AC66" i="17"/>
  <c r="AB65" i="17"/>
  <c r="AB64" i="17"/>
  <c r="AB63" i="17"/>
  <c r="AB62" i="17"/>
  <c r="AB61" i="17"/>
  <c r="AB60" i="17"/>
  <c r="AB59" i="17"/>
  <c r="AD59" i="17"/>
  <c r="AC59" i="17"/>
  <c r="AD58" i="17"/>
  <c r="AB58" i="17"/>
  <c r="AC58" i="17"/>
  <c r="AC57" i="17"/>
  <c r="AB57" i="17"/>
  <c r="AB56" i="17"/>
  <c r="AD56" i="17"/>
  <c r="AC56" i="17"/>
  <c r="AC55" i="17"/>
  <c r="AB55" i="17"/>
  <c r="AD55" i="17"/>
  <c r="AB54" i="17"/>
  <c r="AD54" i="17"/>
  <c r="AC54" i="17"/>
  <c r="AC53" i="17"/>
  <c r="AB53" i="17"/>
  <c r="AD53" i="17"/>
  <c r="AD52" i="17"/>
  <c r="AC52" i="17"/>
  <c r="AB52" i="17"/>
  <c r="AC51" i="17"/>
  <c r="AB51" i="17"/>
  <c r="AD51" i="17"/>
  <c r="AC50" i="17"/>
  <c r="AB50" i="17"/>
  <c r="AD50" i="17"/>
  <c r="AC49" i="17"/>
  <c r="AB49" i="17"/>
  <c r="AC48" i="17"/>
  <c r="AB48" i="17"/>
  <c r="AC47" i="17"/>
  <c r="AB47" i="17"/>
  <c r="AC46" i="17"/>
  <c r="AB46" i="17"/>
  <c r="AC45" i="17"/>
  <c r="AB45" i="17"/>
  <c r="AC44" i="17"/>
  <c r="AB44" i="17"/>
  <c r="AD44" i="17"/>
  <c r="AD43" i="17"/>
  <c r="AC43" i="17"/>
  <c r="AB43" i="17"/>
  <c r="AC42" i="17"/>
  <c r="AB42" i="17"/>
  <c r="AD42" i="17"/>
  <c r="AC41" i="17"/>
  <c r="AB41" i="17"/>
  <c r="AC40" i="17"/>
  <c r="AB40" i="17"/>
  <c r="AC39" i="17"/>
  <c r="AB39" i="17"/>
  <c r="AC38" i="17"/>
  <c r="AB38" i="17"/>
  <c r="AC37" i="17"/>
  <c r="AB37" i="17"/>
  <c r="AC36" i="17"/>
  <c r="AB36" i="17"/>
  <c r="AD36" i="17"/>
  <c r="AC35" i="17"/>
  <c r="AB35" i="17"/>
  <c r="AD35" i="17"/>
  <c r="AD34" i="17"/>
  <c r="AC34" i="17"/>
  <c r="AB34" i="17"/>
  <c r="AC33" i="17"/>
  <c r="AB33" i="17"/>
  <c r="AC32" i="17"/>
  <c r="AB32" i="17"/>
  <c r="AD32" i="17"/>
  <c r="AD31" i="17"/>
  <c r="AC31" i="17"/>
  <c r="AB31" i="17"/>
  <c r="AC30" i="17"/>
  <c r="AB30" i="17"/>
  <c r="AD30" i="17"/>
  <c r="AC29" i="17"/>
  <c r="AB29" i="17"/>
  <c r="AD29" i="17"/>
  <c r="AD28" i="17"/>
  <c r="AC28" i="17"/>
  <c r="AB28" i="17"/>
  <c r="AC27" i="17"/>
  <c r="AB27" i="17"/>
  <c r="AD27" i="17"/>
  <c r="AC26" i="17"/>
  <c r="AB26" i="17"/>
  <c r="AD26" i="17"/>
  <c r="AC25" i="17"/>
  <c r="AB25" i="17"/>
  <c r="AC24" i="17"/>
  <c r="AB24" i="17"/>
  <c r="AD23" i="17"/>
  <c r="AC23" i="17"/>
  <c r="AB23" i="17"/>
  <c r="AD22" i="17"/>
  <c r="AC22" i="17"/>
  <c r="AB22" i="17"/>
  <c r="AD21" i="17"/>
  <c r="AC21" i="17"/>
  <c r="AB21" i="17"/>
  <c r="AD20" i="17"/>
  <c r="AC20" i="17"/>
  <c r="AB20" i="17"/>
  <c r="AD19" i="17"/>
  <c r="AC19" i="17"/>
  <c r="AD18" i="17"/>
  <c r="AC18" i="17"/>
  <c r="AD16" i="17"/>
  <c r="AC16" i="17"/>
  <c r="AD14" i="17"/>
  <c r="AC14" i="17"/>
  <c r="AD10" i="17"/>
  <c r="AB10" i="17"/>
  <c r="AD4" i="17"/>
  <c r="AC4" i="17"/>
  <c r="AD3" i="17"/>
  <c r="AC3" i="17"/>
  <c r="AC134" i="16"/>
  <c r="M134" i="16"/>
  <c r="AC133" i="16"/>
  <c r="M133" i="16"/>
  <c r="AC132" i="16"/>
  <c r="M132" i="16"/>
  <c r="AC131" i="16"/>
  <c r="M131" i="16"/>
  <c r="AC130" i="16"/>
  <c r="M130" i="16"/>
  <c r="AC129" i="16"/>
  <c r="M129" i="16"/>
  <c r="AC128" i="16"/>
  <c r="M128" i="16"/>
  <c r="AC127" i="16"/>
  <c r="M127" i="16"/>
  <c r="AC126" i="16"/>
  <c r="M126" i="16"/>
  <c r="AC125" i="16"/>
  <c r="M125" i="16"/>
  <c r="AC124" i="16"/>
  <c r="M124" i="16"/>
  <c r="AC123" i="16"/>
  <c r="M123" i="16"/>
  <c r="AC122" i="16"/>
  <c r="M122" i="16"/>
  <c r="AC121" i="16"/>
  <c r="M121" i="16"/>
  <c r="AD120" i="16"/>
  <c r="AB120" i="16"/>
  <c r="M120" i="16"/>
  <c r="AC120" i="16" s="1"/>
  <c r="AD119" i="16"/>
  <c r="AB119" i="16"/>
  <c r="M119" i="16"/>
  <c r="AC119" i="16" s="1"/>
  <c r="AD118" i="16"/>
  <c r="AB118" i="16"/>
  <c r="M118" i="16"/>
  <c r="AC118" i="16" s="1"/>
  <c r="AD117" i="16"/>
  <c r="AB117" i="16"/>
  <c r="M117" i="16"/>
  <c r="AC117" i="16" s="1"/>
  <c r="AD116" i="16"/>
  <c r="AB116" i="16"/>
  <c r="M116" i="16"/>
  <c r="AC116" i="16" s="1"/>
  <c r="AD115" i="16"/>
  <c r="AC115" i="16"/>
  <c r="AB115" i="16"/>
  <c r="M115" i="16"/>
  <c r="AD114" i="16"/>
  <c r="AB114" i="16"/>
  <c r="M114" i="16"/>
  <c r="AC114" i="16" s="1"/>
  <c r="AD113" i="16"/>
  <c r="AB113" i="16"/>
  <c r="M113" i="16"/>
  <c r="AC113" i="16" s="1"/>
  <c r="AD112" i="16"/>
  <c r="AB112" i="16"/>
  <c r="M112" i="16"/>
  <c r="AC112" i="16" s="1"/>
  <c r="AD111" i="16"/>
  <c r="AB111" i="16"/>
  <c r="M111" i="16"/>
  <c r="AC111" i="16" s="1"/>
  <c r="AD110" i="16"/>
  <c r="AB110" i="16"/>
  <c r="M110" i="16"/>
  <c r="AC110" i="16" s="1"/>
  <c r="AD109" i="16"/>
  <c r="AC109" i="16"/>
  <c r="AB109" i="16"/>
  <c r="M109" i="16"/>
  <c r="AD108" i="16"/>
  <c r="AB108" i="16"/>
  <c r="M108" i="16"/>
  <c r="AC108" i="16" s="1"/>
  <c r="AD107" i="16"/>
  <c r="AB107" i="16"/>
  <c r="M107" i="16"/>
  <c r="AC107" i="16" s="1"/>
  <c r="AD106" i="16"/>
  <c r="AB106" i="16"/>
  <c r="M106" i="16"/>
  <c r="AC106" i="16" s="1"/>
  <c r="AD105" i="16"/>
  <c r="AB105" i="16"/>
  <c r="M105" i="16"/>
  <c r="AC105" i="16" s="1"/>
  <c r="AD104" i="16"/>
  <c r="AB104" i="16"/>
  <c r="M104" i="16"/>
  <c r="AC104" i="16" s="1"/>
  <c r="AD103" i="16"/>
  <c r="AC103" i="16"/>
  <c r="AB103" i="16"/>
  <c r="M103" i="16"/>
  <c r="AD102" i="16"/>
  <c r="AB102" i="16"/>
  <c r="M102" i="16"/>
  <c r="AC102" i="16" s="1"/>
  <c r="AD101" i="16"/>
  <c r="AB101" i="16"/>
  <c r="M101" i="16"/>
  <c r="AC101" i="16" s="1"/>
  <c r="AD100" i="16"/>
  <c r="AB100" i="16"/>
  <c r="M100" i="16"/>
  <c r="AC100" i="16" s="1"/>
  <c r="AB99" i="16"/>
  <c r="N99" i="16"/>
  <c r="AD99" i="16" s="1"/>
  <c r="M99" i="16"/>
  <c r="AC99" i="16" s="1"/>
  <c r="AB98" i="16"/>
  <c r="N98" i="16"/>
  <c r="AD98" i="16" s="1"/>
  <c r="M98" i="16"/>
  <c r="AC98" i="16" s="1"/>
  <c r="AD97" i="16"/>
  <c r="AB97" i="16"/>
  <c r="N97" i="16"/>
  <c r="M97" i="16"/>
  <c r="AC97" i="16" s="1"/>
  <c r="AB96" i="16"/>
  <c r="N96" i="16"/>
  <c r="AD96" i="16" s="1"/>
  <c r="M96" i="16"/>
  <c r="AC96" i="16" s="1"/>
  <c r="AD95" i="16"/>
  <c r="AC95" i="16"/>
  <c r="AB95" i="16"/>
  <c r="N95" i="16"/>
  <c r="M95" i="16"/>
  <c r="AB94" i="16"/>
  <c r="N94" i="16"/>
  <c r="AD94" i="16" s="1"/>
  <c r="M94" i="16"/>
  <c r="AC94" i="16" s="1"/>
  <c r="AB93" i="16"/>
  <c r="N93" i="16"/>
  <c r="AD93" i="16" s="1"/>
  <c r="M93" i="16"/>
  <c r="AC93" i="16" s="1"/>
  <c r="AB92" i="16"/>
  <c r="N92" i="16"/>
  <c r="AD92" i="16" s="1"/>
  <c r="M92" i="16"/>
  <c r="AC92" i="16" s="1"/>
  <c r="AB91" i="16"/>
  <c r="N91" i="16"/>
  <c r="AD91" i="16" s="1"/>
  <c r="M91" i="16"/>
  <c r="AC91" i="16" s="1"/>
  <c r="AB90" i="16"/>
  <c r="N90" i="16"/>
  <c r="AD90" i="16" s="1"/>
  <c r="M90" i="16"/>
  <c r="AC90" i="16" s="1"/>
  <c r="AB89" i="16"/>
  <c r="N89" i="16"/>
  <c r="AD89" i="16" s="1"/>
  <c r="M89" i="16"/>
  <c r="AC89" i="16" s="1"/>
  <c r="AC88" i="16"/>
  <c r="AB88" i="16"/>
  <c r="N88" i="16"/>
  <c r="AD88" i="16" s="1"/>
  <c r="M88" i="16"/>
  <c r="AB87" i="16"/>
  <c r="N87" i="16"/>
  <c r="AD87" i="16" s="1"/>
  <c r="M87" i="16"/>
  <c r="AC87" i="16" s="1"/>
  <c r="AB86" i="16"/>
  <c r="N86" i="16"/>
  <c r="AD86" i="16" s="1"/>
  <c r="M86" i="16"/>
  <c r="AC86" i="16" s="1"/>
  <c r="AB85" i="16"/>
  <c r="N85" i="16"/>
  <c r="AD85" i="16" s="1"/>
  <c r="M85" i="16"/>
  <c r="AC85" i="16" s="1"/>
  <c r="AD84" i="16"/>
  <c r="AC84" i="16"/>
  <c r="AB84" i="16"/>
  <c r="N84" i="16"/>
  <c r="M84" i="16"/>
  <c r="AD83" i="16"/>
  <c r="AC83" i="16"/>
  <c r="AB83" i="16"/>
  <c r="N83" i="16"/>
  <c r="M83" i="16"/>
  <c r="AB82" i="16"/>
  <c r="N82" i="16"/>
  <c r="AD82" i="16" s="1"/>
  <c r="M82" i="16"/>
  <c r="AC82" i="16" s="1"/>
  <c r="AB81" i="16"/>
  <c r="N81" i="16"/>
  <c r="AD81" i="16" s="1"/>
  <c r="M81" i="16"/>
  <c r="AC81" i="16" s="1"/>
  <c r="AB80" i="16"/>
  <c r="N80" i="16"/>
  <c r="AD80" i="16" s="1"/>
  <c r="M80" i="16"/>
  <c r="AC80" i="16" s="1"/>
  <c r="AB79" i="16"/>
  <c r="N79" i="16"/>
  <c r="AD79" i="16" s="1"/>
  <c r="M79" i="16"/>
  <c r="AC79" i="16" s="1"/>
  <c r="AD78" i="16"/>
  <c r="AC78" i="16"/>
  <c r="AB78" i="16"/>
  <c r="N78" i="16"/>
  <c r="M78" i="16"/>
  <c r="AB77" i="16"/>
  <c r="N77" i="16"/>
  <c r="AD77" i="16" s="1"/>
  <c r="M77" i="16"/>
  <c r="AC77" i="16" s="1"/>
  <c r="AB76" i="16"/>
  <c r="N76" i="16"/>
  <c r="AD76" i="16" s="1"/>
  <c r="M76" i="16"/>
  <c r="AC76" i="16" s="1"/>
  <c r="AB75" i="16"/>
  <c r="N75" i="16"/>
  <c r="AD75" i="16" s="1"/>
  <c r="M75" i="16"/>
  <c r="AC75" i="16" s="1"/>
  <c r="AB74" i="16"/>
  <c r="N74" i="16"/>
  <c r="AD74" i="16" s="1"/>
  <c r="M74" i="16"/>
  <c r="AC74" i="16" s="1"/>
  <c r="AD73" i="16"/>
  <c r="AB73" i="16"/>
  <c r="N73" i="16"/>
  <c r="M73" i="16"/>
  <c r="AC73" i="16" s="1"/>
  <c r="AB72" i="16"/>
  <c r="N72" i="16"/>
  <c r="AD72" i="16" s="1"/>
  <c r="M72" i="16"/>
  <c r="AC72" i="16" s="1"/>
  <c r="AB71" i="16"/>
  <c r="N71" i="16"/>
  <c r="AD71" i="16" s="1"/>
  <c r="M71" i="16"/>
  <c r="AC71" i="16" s="1"/>
  <c r="AB70" i="16"/>
  <c r="N70" i="16"/>
  <c r="AD70" i="16" s="1"/>
  <c r="M70" i="16"/>
  <c r="AC70" i="16" s="1"/>
  <c r="AB69" i="16"/>
  <c r="N69" i="16"/>
  <c r="AD69" i="16" s="1"/>
  <c r="M69" i="16"/>
  <c r="AC69" i="16" s="1"/>
  <c r="AB68" i="16"/>
  <c r="N68" i="16"/>
  <c r="AD68" i="16" s="1"/>
  <c r="M68" i="16"/>
  <c r="AC68" i="16" s="1"/>
  <c r="AB67" i="16"/>
  <c r="N67" i="16"/>
  <c r="AD67" i="16" s="1"/>
  <c r="M67" i="16"/>
  <c r="AC67" i="16" s="1"/>
  <c r="AB66" i="16"/>
  <c r="N66" i="16"/>
  <c r="AD66" i="16" s="1"/>
  <c r="M66" i="16"/>
  <c r="AC66" i="16" s="1"/>
  <c r="AB65" i="16"/>
  <c r="N65" i="16"/>
  <c r="AD65" i="16" s="1"/>
  <c r="M65" i="16"/>
  <c r="AC65" i="16" s="1"/>
  <c r="AC64" i="16"/>
  <c r="AB64" i="16"/>
  <c r="N64" i="16"/>
  <c r="AD64" i="16" s="1"/>
  <c r="M64" i="16"/>
  <c r="AB63" i="16"/>
  <c r="N63" i="16"/>
  <c r="AD63" i="16" s="1"/>
  <c r="M63" i="16"/>
  <c r="AC63" i="16" s="1"/>
  <c r="AB62" i="16"/>
  <c r="N62" i="16"/>
  <c r="AD62" i="16" s="1"/>
  <c r="M62" i="16"/>
  <c r="AC62" i="16" s="1"/>
  <c r="AD61" i="16"/>
  <c r="AC61" i="16"/>
  <c r="AB61" i="16"/>
  <c r="N61" i="16"/>
  <c r="M61" i="16"/>
  <c r="AB60" i="16"/>
  <c r="N60" i="16"/>
  <c r="AD60" i="16" s="1"/>
  <c r="M60" i="16"/>
  <c r="AC60" i="16" s="1"/>
  <c r="AD59" i="16"/>
  <c r="AC59" i="16"/>
  <c r="AB59" i="16"/>
  <c r="N59" i="16"/>
  <c r="M59" i="16"/>
  <c r="AB58" i="16"/>
  <c r="N58" i="16"/>
  <c r="AD58" i="16" s="1"/>
  <c r="M58" i="16"/>
  <c r="AC58" i="16" s="1"/>
  <c r="AB57" i="16"/>
  <c r="N57" i="16"/>
  <c r="AD57" i="16" s="1"/>
  <c r="M57" i="16"/>
  <c r="AC57" i="16" s="1"/>
  <c r="AB56" i="16"/>
  <c r="N56" i="16"/>
  <c r="AD56" i="16" s="1"/>
  <c r="M56" i="16"/>
  <c r="AC56" i="16" s="1"/>
  <c r="AB55" i="16"/>
  <c r="N55" i="16"/>
  <c r="AD55" i="16" s="1"/>
  <c r="M55" i="16"/>
  <c r="AC55" i="16" s="1"/>
  <c r="AD54" i="16"/>
  <c r="AC54" i="16"/>
  <c r="AB54" i="16"/>
  <c r="N54" i="16"/>
  <c r="M54" i="16"/>
  <c r="AC53" i="16"/>
  <c r="AB53" i="16"/>
  <c r="N53" i="16"/>
  <c r="AD53" i="16" s="1"/>
  <c r="AC52" i="16"/>
  <c r="AB52" i="16"/>
  <c r="N52" i="16"/>
  <c r="AD52" i="16" s="1"/>
  <c r="AC51" i="16"/>
  <c r="AB51" i="16"/>
  <c r="N51" i="16"/>
  <c r="AD51" i="16" s="1"/>
  <c r="AC50" i="16"/>
  <c r="AB50" i="16"/>
  <c r="N50" i="16"/>
  <c r="AD50" i="16" s="1"/>
  <c r="AC49" i="16"/>
  <c r="AB49" i="16"/>
  <c r="N49" i="16"/>
  <c r="AD49" i="16" s="1"/>
  <c r="AD48" i="16"/>
  <c r="AC48" i="16"/>
  <c r="AB48" i="16"/>
  <c r="N48" i="16"/>
  <c r="AC47" i="16"/>
  <c r="AB47" i="16"/>
  <c r="N47" i="16"/>
  <c r="AD47" i="16" s="1"/>
  <c r="AC46" i="16"/>
  <c r="AB46" i="16"/>
  <c r="N46" i="16"/>
  <c r="AD46" i="16" s="1"/>
  <c r="AC45" i="16"/>
  <c r="AB45" i="16"/>
  <c r="N45" i="16"/>
  <c r="AD45" i="16" s="1"/>
  <c r="AC44" i="16"/>
  <c r="AB44" i="16"/>
  <c r="N44" i="16"/>
  <c r="AD44" i="16" s="1"/>
  <c r="AD43" i="16"/>
  <c r="AC43" i="16"/>
  <c r="AB43" i="16"/>
  <c r="N43" i="16"/>
  <c r="AD42" i="16"/>
  <c r="AC42" i="16"/>
  <c r="AB42" i="16"/>
  <c r="N42" i="16"/>
  <c r="AC41" i="16"/>
  <c r="AB41" i="16"/>
  <c r="N41" i="16"/>
  <c r="AD41" i="16" s="1"/>
  <c r="AC40" i="16"/>
  <c r="AB40" i="16"/>
  <c r="N40" i="16"/>
  <c r="AD40" i="16" s="1"/>
  <c r="AC39" i="16"/>
  <c r="AB39" i="16"/>
  <c r="N39" i="16"/>
  <c r="AD39" i="16" s="1"/>
  <c r="AC38" i="16"/>
  <c r="AB38" i="16"/>
  <c r="N38" i="16"/>
  <c r="AD38" i="16" s="1"/>
  <c r="AC37" i="16"/>
  <c r="AB37" i="16"/>
  <c r="N37" i="16"/>
  <c r="AD37" i="16" s="1"/>
  <c r="AD36" i="16"/>
  <c r="AC36" i="16"/>
  <c r="AB36" i="16"/>
  <c r="N36" i="16"/>
  <c r="AC35" i="16"/>
  <c r="AB35" i="16"/>
  <c r="N35" i="16"/>
  <c r="AD35" i="16" s="1"/>
  <c r="AC34" i="16"/>
  <c r="AB34" i="16"/>
  <c r="N34" i="16"/>
  <c r="AD34" i="16" s="1"/>
  <c r="AC33" i="16"/>
  <c r="AB33" i="16"/>
  <c r="N33" i="16"/>
  <c r="AD33" i="16" s="1"/>
  <c r="AC32" i="16"/>
  <c r="AB32" i="16"/>
  <c r="N32" i="16"/>
  <c r="AD32" i="16" s="1"/>
  <c r="AC31" i="16"/>
  <c r="AB31" i="16"/>
  <c r="N31" i="16"/>
  <c r="AD31" i="16" s="1"/>
  <c r="AD30" i="16"/>
  <c r="AC30" i="16"/>
  <c r="AB30" i="16"/>
  <c r="N30" i="16"/>
  <c r="AC29" i="16"/>
  <c r="AB29" i="16"/>
  <c r="N29" i="16"/>
  <c r="AD29" i="16" s="1"/>
  <c r="AC28" i="16"/>
  <c r="AB28" i="16"/>
  <c r="N28" i="16"/>
  <c r="AD28" i="16" s="1"/>
  <c r="AC27" i="16"/>
  <c r="AB27" i="16"/>
  <c r="N27" i="16"/>
  <c r="AD27" i="16" s="1"/>
  <c r="AC26" i="16"/>
  <c r="AB26" i="16"/>
  <c r="N26" i="16"/>
  <c r="AD26" i="16" s="1"/>
  <c r="AC25" i="16"/>
  <c r="AB25" i="16"/>
  <c r="N25" i="16"/>
  <c r="AD25" i="16" s="1"/>
  <c r="AD24" i="16"/>
  <c r="AC24" i="16"/>
  <c r="AB24" i="16"/>
  <c r="N24" i="16"/>
  <c r="AD23" i="16"/>
  <c r="AC23" i="16"/>
  <c r="AD22" i="16"/>
  <c r="AC22" i="16"/>
  <c r="AD21" i="16"/>
  <c r="AC21" i="16"/>
  <c r="AD20" i="16"/>
  <c r="AC20" i="16"/>
  <c r="AD19" i="16"/>
  <c r="AC19" i="16"/>
  <c r="AB19" i="16"/>
  <c r="AD18" i="16"/>
  <c r="AC18" i="16"/>
  <c r="AB18" i="16"/>
  <c r="M17" i="16"/>
  <c r="AC17" i="16" s="1"/>
  <c r="L17" i="16"/>
  <c r="AB17" i="16" s="1"/>
  <c r="J17" i="16"/>
  <c r="N17" i="16" s="1"/>
  <c r="AD17" i="16" s="1"/>
  <c r="L16" i="16"/>
  <c r="AB16" i="16" s="1"/>
  <c r="J16" i="16"/>
  <c r="M16" i="16" s="1"/>
  <c r="AC16" i="16" s="1"/>
  <c r="N15" i="16"/>
  <c r="AD15" i="16" s="1"/>
  <c r="L15" i="16"/>
  <c r="AB15" i="16" s="1"/>
  <c r="J15" i="16"/>
  <c r="M15" i="16" s="1"/>
  <c r="AC15" i="16" s="1"/>
  <c r="N14" i="16"/>
  <c r="AD14" i="16" s="1"/>
  <c r="L14" i="16"/>
  <c r="AB14" i="16" s="1"/>
  <c r="J14" i="16"/>
  <c r="M14" i="16" s="1"/>
  <c r="AC14" i="16" s="1"/>
  <c r="N13" i="16"/>
  <c r="AD13" i="16" s="1"/>
  <c r="J13" i="16"/>
  <c r="M13" i="16" s="1"/>
  <c r="AC13" i="16" s="1"/>
  <c r="N12" i="16"/>
  <c r="AD12" i="16" s="1"/>
  <c r="J12" i="16"/>
  <c r="M12" i="16" s="1"/>
  <c r="AC12" i="16" s="1"/>
  <c r="N11" i="16"/>
  <c r="AD11" i="16" s="1"/>
  <c r="J11" i="16"/>
  <c r="L11" i="16" s="1"/>
  <c r="AB11" i="16" s="1"/>
  <c r="N10" i="16"/>
  <c r="AD10" i="16" s="1"/>
  <c r="J10" i="16"/>
  <c r="M10" i="16" s="1"/>
  <c r="AC10" i="16" s="1"/>
  <c r="N9" i="16"/>
  <c r="AD9" i="16" s="1"/>
  <c r="M9" i="16"/>
  <c r="AC9" i="16" s="1"/>
  <c r="J9" i="16"/>
  <c r="L9" i="16" s="1"/>
  <c r="AB9" i="16" s="1"/>
  <c r="M8" i="16"/>
  <c r="AC8" i="16" s="1"/>
  <c r="J8" i="16"/>
  <c r="N8" i="16" s="1"/>
  <c r="AD8" i="16" s="1"/>
  <c r="N7" i="16"/>
  <c r="AD7" i="16" s="1"/>
  <c r="M7" i="16"/>
  <c r="AC7" i="16" s="1"/>
  <c r="J7" i="16"/>
  <c r="L7" i="16" s="1"/>
  <c r="AB7" i="16" s="1"/>
  <c r="L6" i="16"/>
  <c r="AB6" i="16" s="1"/>
  <c r="J6" i="16"/>
  <c r="M6" i="16" s="1"/>
  <c r="AC6" i="16" s="1"/>
  <c r="L5" i="16"/>
  <c r="AB5" i="16" s="1"/>
  <c r="J5" i="16"/>
  <c r="M5" i="16" s="1"/>
  <c r="AC5" i="16" s="1"/>
  <c r="N4" i="16"/>
  <c r="AD4" i="16" s="1"/>
  <c r="L4" i="16"/>
  <c r="AB4" i="16" s="1"/>
  <c r="J4" i="16"/>
  <c r="M4" i="16" s="1"/>
  <c r="AC4" i="16" s="1"/>
  <c r="N3" i="16"/>
  <c r="AD3" i="16" s="1"/>
  <c r="L3" i="16"/>
  <c r="AB3" i="16" s="1"/>
  <c r="J3" i="16"/>
  <c r="M3" i="16" s="1"/>
  <c r="AC3" i="16" s="1"/>
  <c r="N2" i="16"/>
  <c r="J2" i="16"/>
  <c r="M2" i="16" s="1"/>
  <c r="M134" i="15"/>
  <c r="M133" i="15"/>
  <c r="M132" i="15"/>
  <c r="M131" i="15"/>
  <c r="M130" i="15"/>
  <c r="M129" i="15"/>
  <c r="M128" i="15"/>
  <c r="M127" i="15"/>
  <c r="M126" i="15"/>
  <c r="M125" i="15"/>
  <c r="M124" i="15"/>
  <c r="M123" i="15"/>
  <c r="M122" i="15"/>
  <c r="M121" i="15"/>
  <c r="M120" i="15"/>
  <c r="AC120" i="15" s="1"/>
  <c r="M119" i="15"/>
  <c r="AC119" i="15" s="1"/>
  <c r="M118" i="15"/>
  <c r="AC118" i="15" s="1"/>
  <c r="M117" i="15"/>
  <c r="AC117" i="15" s="1"/>
  <c r="M116" i="15"/>
  <c r="AC116" i="15" s="1"/>
  <c r="M115" i="15"/>
  <c r="AC115" i="15" s="1"/>
  <c r="M114" i="15"/>
  <c r="M113" i="15"/>
  <c r="M112" i="15"/>
  <c r="AC112" i="15" s="1"/>
  <c r="M111" i="15"/>
  <c r="AC111" i="15" s="1"/>
  <c r="M110" i="15"/>
  <c r="M109" i="15"/>
  <c r="M108" i="15"/>
  <c r="M107" i="15"/>
  <c r="M106" i="15"/>
  <c r="M105" i="15"/>
  <c r="M104" i="15"/>
  <c r="M103" i="15"/>
  <c r="AC103" i="15" s="1"/>
  <c r="M102" i="15"/>
  <c r="AC102" i="15" s="1"/>
  <c r="M101" i="15"/>
  <c r="AC101" i="15" s="1"/>
  <c r="M100" i="15"/>
  <c r="N99" i="15"/>
  <c r="M99" i="15"/>
  <c r="N98" i="15"/>
  <c r="M98" i="15"/>
  <c r="N97" i="15"/>
  <c r="M97" i="15"/>
  <c r="N96" i="15"/>
  <c r="M96" i="15"/>
  <c r="N95" i="15"/>
  <c r="AD95" i="15" s="1"/>
  <c r="M95" i="15"/>
  <c r="AC95" i="15" s="1"/>
  <c r="N94" i="15"/>
  <c r="AD94" i="15" s="1"/>
  <c r="M94" i="15"/>
  <c r="AC94" i="15" s="1"/>
  <c r="N93" i="15"/>
  <c r="AD93" i="15" s="1"/>
  <c r="M93" i="15"/>
  <c r="N92" i="15"/>
  <c r="M92" i="15"/>
  <c r="N91" i="15"/>
  <c r="M91" i="15"/>
  <c r="N90" i="15"/>
  <c r="M90" i="15"/>
  <c r="N89" i="15"/>
  <c r="M89" i="15"/>
  <c r="N88" i="15"/>
  <c r="M88" i="15"/>
  <c r="N87" i="15"/>
  <c r="M87" i="15"/>
  <c r="AC87" i="15" s="1"/>
  <c r="N86" i="15"/>
  <c r="AD86" i="15" s="1"/>
  <c r="M86" i="15"/>
  <c r="AC86" i="15" s="1"/>
  <c r="N85" i="15"/>
  <c r="AD85" i="15" s="1"/>
  <c r="M85" i="15"/>
  <c r="AC85" i="15" s="1"/>
  <c r="N84" i="15"/>
  <c r="AD84" i="15" s="1"/>
  <c r="M84" i="15"/>
  <c r="AC84" i="15" s="1"/>
  <c r="N83" i="15"/>
  <c r="AD83" i="15" s="1"/>
  <c r="M83" i="15"/>
  <c r="AC83" i="15" s="1"/>
  <c r="N82" i="15"/>
  <c r="AD82" i="15" s="1"/>
  <c r="M82" i="15"/>
  <c r="AC82" i="15" s="1"/>
  <c r="N81" i="15"/>
  <c r="AD81" i="15" s="1"/>
  <c r="M81" i="15"/>
  <c r="N80" i="15"/>
  <c r="M80" i="15"/>
  <c r="N79" i="15"/>
  <c r="AD79" i="15" s="1"/>
  <c r="M79" i="15"/>
  <c r="N78" i="15"/>
  <c r="AD78" i="15" s="1"/>
  <c r="M78" i="15"/>
  <c r="AC78" i="15" s="1"/>
  <c r="N77" i="15"/>
  <c r="AD77" i="15" s="1"/>
  <c r="M77" i="15"/>
  <c r="AC77" i="15" s="1"/>
  <c r="N76" i="15"/>
  <c r="AD76" i="15" s="1"/>
  <c r="M76" i="15"/>
  <c r="N75" i="15"/>
  <c r="M75" i="15"/>
  <c r="N74" i="15"/>
  <c r="M74" i="15"/>
  <c r="N73" i="15"/>
  <c r="AD73" i="15" s="1"/>
  <c r="M73" i="15"/>
  <c r="AC73" i="15" s="1"/>
  <c r="N72" i="15"/>
  <c r="AD72" i="15" s="1"/>
  <c r="M72" i="15"/>
  <c r="AC72" i="15" s="1"/>
  <c r="N71" i="15"/>
  <c r="AD71" i="15" s="1"/>
  <c r="M71" i="15"/>
  <c r="AC71" i="15" s="1"/>
  <c r="N70" i="15"/>
  <c r="AD70" i="15" s="1"/>
  <c r="M70" i="15"/>
  <c r="AC70" i="15" s="1"/>
  <c r="N69" i="15"/>
  <c r="AD69" i="15" s="1"/>
  <c r="M69" i="15"/>
  <c r="N68" i="15"/>
  <c r="M68" i="15"/>
  <c r="N67" i="15"/>
  <c r="M67" i="15"/>
  <c r="N66" i="15"/>
  <c r="M66" i="15"/>
  <c r="N65" i="15"/>
  <c r="M65" i="15"/>
  <c r="N64" i="15"/>
  <c r="M64" i="15"/>
  <c r="AC64" i="15" s="1"/>
  <c r="N63" i="15"/>
  <c r="AD63" i="15" s="1"/>
  <c r="M63" i="15"/>
  <c r="AC63" i="15" s="1"/>
  <c r="N62" i="15"/>
  <c r="AD62" i="15" s="1"/>
  <c r="M62" i="15"/>
  <c r="AC62" i="15" s="1"/>
  <c r="N61" i="15"/>
  <c r="AD61" i="15" s="1"/>
  <c r="M61" i="15"/>
  <c r="AC61" i="15" s="1"/>
  <c r="N60" i="15"/>
  <c r="AD60" i="15" s="1"/>
  <c r="M60" i="15"/>
  <c r="AC60" i="15" s="1"/>
  <c r="N59" i="15"/>
  <c r="AD59" i="15" s="1"/>
  <c r="M59" i="15"/>
  <c r="AC59" i="15" s="1"/>
  <c r="N58" i="15"/>
  <c r="AD58" i="15" s="1"/>
  <c r="M58" i="15"/>
  <c r="AC58" i="15" s="1"/>
  <c r="N57" i="15"/>
  <c r="AD57" i="15" s="1"/>
  <c r="M57" i="15"/>
  <c r="N56" i="15"/>
  <c r="M56" i="15"/>
  <c r="N55" i="15"/>
  <c r="AD55" i="15" s="1"/>
  <c r="M55" i="15"/>
  <c r="N54" i="15"/>
  <c r="AD54" i="15" s="1"/>
  <c r="M54" i="15"/>
  <c r="AC54" i="15" s="1"/>
  <c r="N53" i="15"/>
  <c r="AD53" i="15" s="1"/>
  <c r="N52" i="15"/>
  <c r="AD52" i="15" s="1"/>
  <c r="N51" i="15"/>
  <c r="N50" i="15"/>
  <c r="AD50" i="15" s="1"/>
  <c r="N49" i="15"/>
  <c r="AD49" i="15" s="1"/>
  <c r="N48" i="15"/>
  <c r="M47" i="15"/>
  <c r="L47" i="15"/>
  <c r="J47" i="15"/>
  <c r="N47" i="15" s="1"/>
  <c r="AD47" i="15" s="1"/>
  <c r="M46" i="15"/>
  <c r="AC46" i="15" s="1"/>
  <c r="L46" i="15"/>
  <c r="AB46" i="15" s="1"/>
  <c r="J46" i="15"/>
  <c r="N46" i="15" s="1"/>
  <c r="AD46" i="15" s="1"/>
  <c r="N45" i="15"/>
  <c r="AD45" i="15" s="1"/>
  <c r="M45" i="15"/>
  <c r="AC45" i="15" s="1"/>
  <c r="L45" i="15"/>
  <c r="AB45" i="15" s="1"/>
  <c r="J45" i="15"/>
  <c r="N44" i="15"/>
  <c r="L44" i="15"/>
  <c r="J44" i="15"/>
  <c r="M44" i="15" s="1"/>
  <c r="AC44" i="15" s="1"/>
  <c r="N43" i="15"/>
  <c r="AD43" i="15" s="1"/>
  <c r="M43" i="15"/>
  <c r="AC43" i="15" s="1"/>
  <c r="J43" i="15"/>
  <c r="L43" i="15" s="1"/>
  <c r="AB43" i="15" s="1"/>
  <c r="N42" i="15"/>
  <c r="AD42" i="15" s="1"/>
  <c r="M42" i="15"/>
  <c r="AC42" i="15" s="1"/>
  <c r="J42" i="15"/>
  <c r="L42" i="15" s="1"/>
  <c r="AB42" i="15" s="1"/>
  <c r="M41" i="15"/>
  <c r="AC41" i="15" s="1"/>
  <c r="L41" i="15"/>
  <c r="AB41" i="15" s="1"/>
  <c r="J41" i="15"/>
  <c r="N41" i="15" s="1"/>
  <c r="AD41" i="15" s="1"/>
  <c r="M40" i="15"/>
  <c r="AC40" i="15" s="1"/>
  <c r="L40" i="15"/>
  <c r="AB40" i="15" s="1"/>
  <c r="J40" i="15"/>
  <c r="N40" i="15" s="1"/>
  <c r="AD40" i="15" s="1"/>
  <c r="N39" i="15"/>
  <c r="AD39" i="15" s="1"/>
  <c r="M39" i="15"/>
  <c r="AC39" i="15" s="1"/>
  <c r="L39" i="15"/>
  <c r="AB39" i="15" s="1"/>
  <c r="J39" i="15"/>
  <c r="N38" i="15"/>
  <c r="L38" i="15"/>
  <c r="AB38" i="15" s="1"/>
  <c r="J38" i="15"/>
  <c r="M38" i="15" s="1"/>
  <c r="AC38" i="15" s="1"/>
  <c r="N37" i="15"/>
  <c r="AD37" i="15" s="1"/>
  <c r="M37" i="15"/>
  <c r="AC37" i="15" s="1"/>
  <c r="J37" i="15"/>
  <c r="L37" i="15" s="1"/>
  <c r="AB37" i="15" s="1"/>
  <c r="N36" i="15"/>
  <c r="M36" i="15"/>
  <c r="AC36" i="15" s="1"/>
  <c r="J36" i="15"/>
  <c r="L36" i="15" s="1"/>
  <c r="AB36" i="15" s="1"/>
  <c r="M35" i="15"/>
  <c r="L35" i="15"/>
  <c r="J35" i="15"/>
  <c r="N35" i="15" s="1"/>
  <c r="AD35" i="15" s="1"/>
  <c r="N34" i="15"/>
  <c r="L34" i="15"/>
  <c r="J34" i="15"/>
  <c r="M34" i="15" s="1"/>
  <c r="AC34" i="15" s="1"/>
  <c r="N33" i="15"/>
  <c r="M33" i="15"/>
  <c r="L33" i="15"/>
  <c r="J33" i="15"/>
  <c r="N32" i="15"/>
  <c r="L32" i="15"/>
  <c r="J32" i="15"/>
  <c r="M32" i="15" s="1"/>
  <c r="AC32" i="15" s="1"/>
  <c r="N31" i="15"/>
  <c r="M31" i="15"/>
  <c r="J31" i="15"/>
  <c r="L31" i="15" s="1"/>
  <c r="AB31" i="15" s="1"/>
  <c r="N30" i="15"/>
  <c r="AD30" i="15" s="1"/>
  <c r="L30" i="15"/>
  <c r="AB30" i="15" s="1"/>
  <c r="J30" i="15"/>
  <c r="M30" i="15" s="1"/>
  <c r="AC30" i="15" s="1"/>
  <c r="M29" i="15"/>
  <c r="AC29" i="15" s="1"/>
  <c r="L29" i="15"/>
  <c r="AB29" i="15" s="1"/>
  <c r="J29" i="15"/>
  <c r="N29" i="15" s="1"/>
  <c r="AD29" i="15" s="1"/>
  <c r="N28" i="15"/>
  <c r="AD28" i="15" s="1"/>
  <c r="M28" i="15"/>
  <c r="AC28" i="15" s="1"/>
  <c r="J28" i="15"/>
  <c r="L28" i="15" s="1"/>
  <c r="AB28" i="15" s="1"/>
  <c r="N27" i="15"/>
  <c r="AD27" i="15" s="1"/>
  <c r="M27" i="15"/>
  <c r="AC27" i="15" s="1"/>
  <c r="L27" i="15"/>
  <c r="AB27" i="15" s="1"/>
  <c r="J27" i="15"/>
  <c r="N26" i="15"/>
  <c r="L26" i="15"/>
  <c r="J26" i="15"/>
  <c r="M26" i="15" s="1"/>
  <c r="AC26" i="15" s="1"/>
  <c r="N25" i="15"/>
  <c r="M25" i="15"/>
  <c r="J25" i="15"/>
  <c r="L25" i="15" s="1"/>
  <c r="N24" i="15"/>
  <c r="M24" i="15"/>
  <c r="J24" i="15"/>
  <c r="L24" i="15" s="1"/>
  <c r="AB24" i="15" s="1"/>
  <c r="N23" i="15"/>
  <c r="L23" i="15"/>
  <c r="AB23" i="15" s="1"/>
  <c r="J23" i="15"/>
  <c r="M23" i="15" s="1"/>
  <c r="AC23" i="15" s="1"/>
  <c r="N22" i="15"/>
  <c r="AD22" i="15" s="1"/>
  <c r="L22" i="15"/>
  <c r="AB22" i="15" s="1"/>
  <c r="J22" i="15"/>
  <c r="M22" i="15" s="1"/>
  <c r="AC22" i="15" s="1"/>
  <c r="N21" i="15"/>
  <c r="AD21" i="15" s="1"/>
  <c r="M21" i="15"/>
  <c r="AC21" i="15" s="1"/>
  <c r="L21" i="15"/>
  <c r="AB21" i="15" s="1"/>
  <c r="J21" i="15"/>
  <c r="N20" i="15"/>
  <c r="M20" i="15"/>
  <c r="J20" i="15"/>
  <c r="L20" i="15" s="1"/>
  <c r="AB20" i="15" s="1"/>
  <c r="N19" i="15"/>
  <c r="M19" i="15"/>
  <c r="J19" i="15"/>
  <c r="L19" i="15" s="1"/>
  <c r="AB19" i="15" s="1"/>
  <c r="M18" i="15"/>
  <c r="L18" i="15"/>
  <c r="J18" i="15"/>
  <c r="N18" i="15" s="1"/>
  <c r="M17" i="15"/>
  <c r="L17" i="15"/>
  <c r="J17" i="15"/>
  <c r="N17" i="15" s="1"/>
  <c r="AD17" i="15" s="1"/>
  <c r="N16" i="15"/>
  <c r="AD16" i="15" s="1"/>
  <c r="L16" i="15"/>
  <c r="AB16" i="15" s="1"/>
  <c r="J16" i="15"/>
  <c r="M16" i="15" s="1"/>
  <c r="AC16" i="15" s="1"/>
  <c r="N15" i="15"/>
  <c r="AD15" i="15" s="1"/>
  <c r="M15" i="15"/>
  <c r="AC15" i="15" s="1"/>
  <c r="L15" i="15"/>
  <c r="AB15" i="15" s="1"/>
  <c r="J15" i="15"/>
  <c r="N14" i="15"/>
  <c r="M14" i="15"/>
  <c r="J14" i="15"/>
  <c r="L14" i="15" s="1"/>
  <c r="AB14" i="15" s="1"/>
  <c r="N13" i="15"/>
  <c r="AD13" i="15" s="1"/>
  <c r="M13" i="15"/>
  <c r="J13" i="15"/>
  <c r="L13" i="15" s="1"/>
  <c r="AB13" i="15" s="1"/>
  <c r="M12" i="15"/>
  <c r="AC12" i="15" s="1"/>
  <c r="L12" i="15"/>
  <c r="AB12" i="15" s="1"/>
  <c r="J12" i="15"/>
  <c r="N12" i="15" s="1"/>
  <c r="AD12" i="15" s="1"/>
  <c r="M11" i="15"/>
  <c r="L11" i="15"/>
  <c r="J11" i="15"/>
  <c r="N11" i="15" s="1"/>
  <c r="AD11" i="15" s="1"/>
  <c r="N10" i="15"/>
  <c r="L10" i="15"/>
  <c r="J10" i="15"/>
  <c r="M10" i="15" s="1"/>
  <c r="AC10" i="15" s="1"/>
  <c r="N9" i="15"/>
  <c r="M9" i="15"/>
  <c r="L9" i="15"/>
  <c r="J9" i="15"/>
  <c r="N8" i="15"/>
  <c r="M8" i="15"/>
  <c r="AC8" i="15" s="1"/>
  <c r="J8" i="15"/>
  <c r="L8" i="15" s="1"/>
  <c r="AB8" i="15" s="1"/>
  <c r="M7" i="15"/>
  <c r="L7" i="15"/>
  <c r="J7" i="15"/>
  <c r="N7" i="15" s="1"/>
  <c r="AD7" i="15" s="1"/>
  <c r="M6" i="15"/>
  <c r="AC6" i="15" s="1"/>
  <c r="L6" i="15"/>
  <c r="AB6" i="15" s="1"/>
  <c r="J6" i="15"/>
  <c r="N6" i="15" s="1"/>
  <c r="AD6" i="15" s="1"/>
  <c r="N5" i="15"/>
  <c r="AD5" i="15" s="1"/>
  <c r="M5" i="15"/>
  <c r="AC5" i="15" s="1"/>
  <c r="L5" i="15"/>
  <c r="AB5" i="15" s="1"/>
  <c r="J5" i="15"/>
  <c r="N4" i="15"/>
  <c r="AD4" i="15" s="1"/>
  <c r="L4" i="15"/>
  <c r="AB4" i="15" s="1"/>
  <c r="J4" i="15"/>
  <c r="M4" i="15" s="1"/>
  <c r="AC4" i="15" s="1"/>
  <c r="N3" i="15"/>
  <c r="AD3" i="15" s="1"/>
  <c r="M3" i="15"/>
  <c r="AC3" i="15" s="1"/>
  <c r="L3" i="15"/>
  <c r="AB3" i="15" s="1"/>
  <c r="J3" i="15"/>
  <c r="N2" i="15"/>
  <c r="M2" i="15"/>
  <c r="J2" i="15"/>
  <c r="L2" i="15" s="1"/>
  <c r="AB2" i="15" s="1"/>
  <c r="AC134" i="15"/>
  <c r="AC133" i="15"/>
  <c r="AC132" i="15"/>
  <c r="AC131" i="15"/>
  <c r="AC130" i="15"/>
  <c r="AC129" i="15"/>
  <c r="AC128" i="15"/>
  <c r="AC127" i="15"/>
  <c r="AC126" i="15"/>
  <c r="AC125" i="15"/>
  <c r="AC124" i="15"/>
  <c r="AC123" i="15"/>
  <c r="AC122" i="15"/>
  <c r="AC121" i="15"/>
  <c r="AD120" i="15"/>
  <c r="AB120" i="15"/>
  <c r="AD119" i="15"/>
  <c r="AB119" i="15"/>
  <c r="AD118" i="15"/>
  <c r="AB118" i="15"/>
  <c r="AD117" i="15"/>
  <c r="AB117" i="15"/>
  <c r="AD116" i="15"/>
  <c r="AB116" i="15"/>
  <c r="AD115" i="15"/>
  <c r="AB115" i="15"/>
  <c r="AD114" i="15"/>
  <c r="AB114" i="15"/>
  <c r="AC114" i="15"/>
  <c r="AD113" i="15"/>
  <c r="AB113" i="15"/>
  <c r="AC113" i="15"/>
  <c r="AD112" i="15"/>
  <c r="AB112" i="15"/>
  <c r="AD111" i="15"/>
  <c r="AB111" i="15"/>
  <c r="AD110" i="15"/>
  <c r="AB110" i="15"/>
  <c r="AC110" i="15"/>
  <c r="AD109" i="15"/>
  <c r="AC109" i="15"/>
  <c r="AB109" i="15"/>
  <c r="AD108" i="15"/>
  <c r="AB108" i="15"/>
  <c r="AC108" i="15"/>
  <c r="AD107" i="15"/>
  <c r="AB107" i="15"/>
  <c r="AC107" i="15"/>
  <c r="AD106" i="15"/>
  <c r="AB106" i="15"/>
  <c r="AC106" i="15"/>
  <c r="AD105" i="15"/>
  <c r="AB105" i="15"/>
  <c r="AC105" i="15"/>
  <c r="AD104" i="15"/>
  <c r="AB104" i="15"/>
  <c r="AC104" i="15"/>
  <c r="AD103" i="15"/>
  <c r="AB103" i="15"/>
  <c r="AD102" i="15"/>
  <c r="AB102" i="15"/>
  <c r="AD101" i="15"/>
  <c r="AB101" i="15"/>
  <c r="AD100" i="15"/>
  <c r="AB100" i="15"/>
  <c r="AC100" i="15"/>
  <c r="AB99" i="15"/>
  <c r="AD99" i="15"/>
  <c r="AC99" i="15"/>
  <c r="AD98" i="15"/>
  <c r="AC98" i="15"/>
  <c r="AB98" i="15"/>
  <c r="AB97" i="15"/>
  <c r="AD97" i="15"/>
  <c r="AC97" i="15"/>
  <c r="AB96" i="15"/>
  <c r="AD96" i="15"/>
  <c r="AC96" i="15"/>
  <c r="AB95" i="15"/>
  <c r="AB94" i="15"/>
  <c r="AC93" i="15"/>
  <c r="AB93" i="15"/>
  <c r="AB92" i="15"/>
  <c r="AD92" i="15"/>
  <c r="AC92" i="15"/>
  <c r="AC91" i="15"/>
  <c r="AB91" i="15"/>
  <c r="AD91" i="15"/>
  <c r="AB90" i="15"/>
  <c r="AD90" i="15"/>
  <c r="AC90" i="15"/>
  <c r="AB89" i="15"/>
  <c r="AD89" i="15"/>
  <c r="AC89" i="15"/>
  <c r="AD88" i="15"/>
  <c r="AB88" i="15"/>
  <c r="AC88" i="15"/>
  <c r="AB87" i="15"/>
  <c r="AD87" i="15"/>
  <c r="AB86" i="15"/>
  <c r="AB85" i="15"/>
  <c r="AB84" i="15"/>
  <c r="AB83" i="15"/>
  <c r="AB82" i="15"/>
  <c r="AC81" i="15"/>
  <c r="AB81" i="15"/>
  <c r="AB80" i="15"/>
  <c r="AD80" i="15"/>
  <c r="AC80" i="15"/>
  <c r="AC79" i="15"/>
  <c r="AB79" i="15"/>
  <c r="AB78" i="15"/>
  <c r="AB77" i="15"/>
  <c r="AB76" i="15"/>
  <c r="AC76" i="15"/>
  <c r="AB75" i="15"/>
  <c r="AD75" i="15"/>
  <c r="AC75" i="15"/>
  <c r="AD74" i="15"/>
  <c r="AC74" i="15"/>
  <c r="AB74" i="15"/>
  <c r="AB73" i="15"/>
  <c r="AB72" i="15"/>
  <c r="AB71" i="15"/>
  <c r="AB70" i="15"/>
  <c r="AC69" i="15"/>
  <c r="AB69" i="15"/>
  <c r="AB68" i="15"/>
  <c r="AD68" i="15"/>
  <c r="AC68" i="15"/>
  <c r="AC67" i="15"/>
  <c r="AB67" i="15"/>
  <c r="AD67" i="15"/>
  <c r="AB66" i="15"/>
  <c r="AD66" i="15"/>
  <c r="AC66" i="15"/>
  <c r="AB65" i="15"/>
  <c r="AD65" i="15"/>
  <c r="AC65" i="15"/>
  <c r="AD64" i="15"/>
  <c r="AB64" i="15"/>
  <c r="AB63" i="15"/>
  <c r="AB62" i="15"/>
  <c r="AB61" i="15"/>
  <c r="AB60" i="15"/>
  <c r="AB59" i="15"/>
  <c r="AB58" i="15"/>
  <c r="AC57" i="15"/>
  <c r="AB57" i="15"/>
  <c r="AB56" i="15"/>
  <c r="AD56" i="15"/>
  <c r="AC56" i="15"/>
  <c r="AC55" i="15"/>
  <c r="AB55" i="15"/>
  <c r="AB54" i="15"/>
  <c r="AC53" i="15"/>
  <c r="AB53" i="15"/>
  <c r="AC52" i="15"/>
  <c r="AB52" i="15"/>
  <c r="AC51" i="15"/>
  <c r="AB51" i="15"/>
  <c r="AD51" i="15"/>
  <c r="AC50" i="15"/>
  <c r="AB50" i="15"/>
  <c r="AC49" i="15"/>
  <c r="AB49" i="15"/>
  <c r="AC48" i="15"/>
  <c r="AB48" i="15"/>
  <c r="AD48" i="15"/>
  <c r="AC47" i="15"/>
  <c r="AB47" i="15"/>
  <c r="AB44" i="15"/>
  <c r="AD44" i="15"/>
  <c r="AD38" i="15"/>
  <c r="AD36" i="15"/>
  <c r="AC35" i="15"/>
  <c r="AB35" i="15"/>
  <c r="AD34" i="15"/>
  <c r="AB34" i="15"/>
  <c r="AC33" i="15"/>
  <c r="AB33" i="15"/>
  <c r="AD33" i="15"/>
  <c r="AB32" i="15"/>
  <c r="AD32" i="15"/>
  <c r="AD31" i="15"/>
  <c r="AC31" i="15"/>
  <c r="AB26" i="15"/>
  <c r="AD26" i="15"/>
  <c r="AD25" i="15"/>
  <c r="AC25" i="15"/>
  <c r="AB25" i="15"/>
  <c r="AC24" i="15"/>
  <c r="AD24" i="15"/>
  <c r="AD23" i="15"/>
  <c r="AD20" i="15"/>
  <c r="AC20" i="15"/>
  <c r="AD19" i="15"/>
  <c r="AC19" i="15"/>
  <c r="AD18" i="15"/>
  <c r="AC18" i="15"/>
  <c r="AB18" i="15"/>
  <c r="AC17" i="15"/>
  <c r="AB17" i="15"/>
  <c r="AD14" i="15"/>
  <c r="AC14" i="15"/>
  <c r="AC13" i="15"/>
  <c r="AC11" i="15"/>
  <c r="AB11" i="15"/>
  <c r="AD10" i="15"/>
  <c r="AB10" i="15"/>
  <c r="AC9" i="15"/>
  <c r="AD9" i="15"/>
  <c r="AB9" i="15"/>
  <c r="AD8" i="15"/>
  <c r="AC7" i="15"/>
  <c r="AB7" i="15"/>
  <c r="M137" i="14"/>
  <c r="M136" i="14"/>
  <c r="M135" i="14"/>
  <c r="M134" i="14"/>
  <c r="M133" i="14"/>
  <c r="M132" i="14"/>
  <c r="M131" i="14"/>
  <c r="M130" i="14"/>
  <c r="M129" i="14"/>
  <c r="M128" i="14"/>
  <c r="M127" i="14"/>
  <c r="M126" i="14"/>
  <c r="M125" i="14"/>
  <c r="M124" i="14"/>
  <c r="M123" i="14"/>
  <c r="AC123" i="14" s="1"/>
  <c r="M122" i="14"/>
  <c r="AC122" i="14" s="1"/>
  <c r="M121" i="14"/>
  <c r="AC121" i="14" s="1"/>
  <c r="M120" i="14"/>
  <c r="AC120" i="14" s="1"/>
  <c r="M119" i="14"/>
  <c r="AC119" i="14" s="1"/>
  <c r="M118" i="14"/>
  <c r="AC118" i="14" s="1"/>
  <c r="M117" i="14"/>
  <c r="AC117" i="14" s="1"/>
  <c r="M116" i="14"/>
  <c r="AC116" i="14" s="1"/>
  <c r="M115" i="14"/>
  <c r="AC115" i="14" s="1"/>
  <c r="M114" i="14"/>
  <c r="AC114" i="14" s="1"/>
  <c r="M113" i="14"/>
  <c r="AC113" i="14" s="1"/>
  <c r="M112" i="14"/>
  <c r="AC112" i="14" s="1"/>
  <c r="M111" i="14"/>
  <c r="AC111" i="14" s="1"/>
  <c r="M110" i="14"/>
  <c r="AC110" i="14" s="1"/>
  <c r="M109" i="14"/>
  <c r="AC109" i="14" s="1"/>
  <c r="M108" i="14"/>
  <c r="AC108" i="14" s="1"/>
  <c r="M107" i="14"/>
  <c r="AC107" i="14" s="1"/>
  <c r="M106" i="14"/>
  <c r="AC106" i="14" s="1"/>
  <c r="M105" i="14"/>
  <c r="M104" i="14"/>
  <c r="M103" i="14"/>
  <c r="N102" i="14"/>
  <c r="M102" i="14"/>
  <c r="N101" i="14"/>
  <c r="M101" i="14"/>
  <c r="AC101" i="14" s="1"/>
  <c r="N100" i="14"/>
  <c r="AD100" i="14" s="1"/>
  <c r="M100" i="14"/>
  <c r="AC100" i="14" s="1"/>
  <c r="N99" i="14"/>
  <c r="AD99" i="14" s="1"/>
  <c r="M99" i="14"/>
  <c r="AC99" i="14" s="1"/>
  <c r="N98" i="14"/>
  <c r="AD98" i="14" s="1"/>
  <c r="M98" i="14"/>
  <c r="AC98" i="14" s="1"/>
  <c r="N97" i="14"/>
  <c r="AD97" i="14" s="1"/>
  <c r="M97" i="14"/>
  <c r="AC97" i="14" s="1"/>
  <c r="N96" i="14"/>
  <c r="AD96" i="14" s="1"/>
  <c r="M96" i="14"/>
  <c r="AC96" i="14" s="1"/>
  <c r="N95" i="14"/>
  <c r="AD95" i="14" s="1"/>
  <c r="M95" i="14"/>
  <c r="AC95" i="14" s="1"/>
  <c r="N94" i="14"/>
  <c r="AD94" i="14" s="1"/>
  <c r="M94" i="14"/>
  <c r="AC94" i="14" s="1"/>
  <c r="N93" i="14"/>
  <c r="AD93" i="14" s="1"/>
  <c r="M93" i="14"/>
  <c r="AC93" i="14" s="1"/>
  <c r="N92" i="14"/>
  <c r="AD92" i="14" s="1"/>
  <c r="M92" i="14"/>
  <c r="AC92" i="14" s="1"/>
  <c r="N91" i="14"/>
  <c r="AD91" i="14" s="1"/>
  <c r="M91" i="14"/>
  <c r="AC91" i="14" s="1"/>
  <c r="N90" i="14"/>
  <c r="AD90" i="14" s="1"/>
  <c r="M90" i="14"/>
  <c r="AC90" i="14" s="1"/>
  <c r="N89" i="14"/>
  <c r="AD89" i="14" s="1"/>
  <c r="M89" i="14"/>
  <c r="AC89" i="14" s="1"/>
  <c r="N88" i="14"/>
  <c r="AD88" i="14" s="1"/>
  <c r="M88" i="14"/>
  <c r="AC88" i="14" s="1"/>
  <c r="N87" i="14"/>
  <c r="AD87" i="14" s="1"/>
  <c r="M87" i="14"/>
  <c r="AC87" i="14" s="1"/>
  <c r="N86" i="14"/>
  <c r="AD86" i="14" s="1"/>
  <c r="M86" i="14"/>
  <c r="AC86" i="14" s="1"/>
  <c r="N85" i="14"/>
  <c r="AD85" i="14" s="1"/>
  <c r="M85" i="14"/>
  <c r="AC85" i="14" s="1"/>
  <c r="N84" i="14"/>
  <c r="AD84" i="14" s="1"/>
  <c r="M84" i="14"/>
  <c r="AC84" i="14" s="1"/>
  <c r="N83" i="14"/>
  <c r="AD83" i="14" s="1"/>
  <c r="M83" i="14"/>
  <c r="AC83" i="14" s="1"/>
  <c r="N82" i="14"/>
  <c r="AD82" i="14" s="1"/>
  <c r="M82" i="14"/>
  <c r="AC82" i="14" s="1"/>
  <c r="N81" i="14"/>
  <c r="AD81" i="14" s="1"/>
  <c r="M81" i="14"/>
  <c r="AC81" i="14" s="1"/>
  <c r="N80" i="14"/>
  <c r="AD80" i="14" s="1"/>
  <c r="M80" i="14"/>
  <c r="N79" i="14"/>
  <c r="M79" i="14"/>
  <c r="N78" i="14"/>
  <c r="M78" i="14"/>
  <c r="N77" i="14"/>
  <c r="M77" i="14"/>
  <c r="AC77" i="14" s="1"/>
  <c r="N76" i="14"/>
  <c r="AD76" i="14" s="1"/>
  <c r="M76" i="14"/>
  <c r="AC76" i="14" s="1"/>
  <c r="N75" i="14"/>
  <c r="AD75" i="14" s="1"/>
  <c r="M75" i="14"/>
  <c r="AC75" i="14" s="1"/>
  <c r="N74" i="14"/>
  <c r="AD74" i="14" s="1"/>
  <c r="M74" i="14"/>
  <c r="AC74" i="14" s="1"/>
  <c r="N73" i="14"/>
  <c r="AD73" i="14" s="1"/>
  <c r="M73" i="14"/>
  <c r="AC73" i="14" s="1"/>
  <c r="N72" i="14"/>
  <c r="AD72" i="14" s="1"/>
  <c r="M72" i="14"/>
  <c r="AC72" i="14" s="1"/>
  <c r="N71" i="14"/>
  <c r="AD71" i="14" s="1"/>
  <c r="M71" i="14"/>
  <c r="AC71" i="14" s="1"/>
  <c r="N70" i="14"/>
  <c r="AD70" i="14" s="1"/>
  <c r="M70" i="14"/>
  <c r="AC70" i="14" s="1"/>
  <c r="N69" i="14"/>
  <c r="AD69" i="14" s="1"/>
  <c r="M69" i="14"/>
  <c r="AC69" i="14" s="1"/>
  <c r="N68" i="14"/>
  <c r="AD68" i="14" s="1"/>
  <c r="M68" i="14"/>
  <c r="AC68" i="14" s="1"/>
  <c r="N67" i="14"/>
  <c r="AD67" i="14" s="1"/>
  <c r="M67" i="14"/>
  <c r="AC67" i="14" s="1"/>
  <c r="N66" i="14"/>
  <c r="AD66" i="14" s="1"/>
  <c r="M66" i="14"/>
  <c r="AC66" i="14" s="1"/>
  <c r="N65" i="14"/>
  <c r="AD65" i="14" s="1"/>
  <c r="M65" i="14"/>
  <c r="AC65" i="14" s="1"/>
  <c r="N64" i="14"/>
  <c r="AD64" i="14" s="1"/>
  <c r="M64" i="14"/>
  <c r="AC64" i="14" s="1"/>
  <c r="N63" i="14"/>
  <c r="AD63" i="14" s="1"/>
  <c r="M63" i="14"/>
  <c r="AC63" i="14" s="1"/>
  <c r="N62" i="14"/>
  <c r="AD62" i="14" s="1"/>
  <c r="M62" i="14"/>
  <c r="AC62" i="14" s="1"/>
  <c r="N61" i="14"/>
  <c r="AD61" i="14" s="1"/>
  <c r="M61" i="14"/>
  <c r="AC61" i="14" s="1"/>
  <c r="N60" i="14"/>
  <c r="AD60" i="14" s="1"/>
  <c r="M60" i="14"/>
  <c r="AC60" i="14" s="1"/>
  <c r="N59" i="14"/>
  <c r="AD59" i="14" s="1"/>
  <c r="M59" i="14"/>
  <c r="AC59" i="14" s="1"/>
  <c r="N58" i="14"/>
  <c r="AD58" i="14" s="1"/>
  <c r="M58" i="14"/>
  <c r="AC58" i="14" s="1"/>
  <c r="N57" i="14"/>
  <c r="AD57" i="14" s="1"/>
  <c r="M57" i="14"/>
  <c r="AC57" i="14" s="1"/>
  <c r="N56" i="14"/>
  <c r="AD56" i="14" s="1"/>
  <c r="N55" i="14"/>
  <c r="N54" i="14"/>
  <c r="N53" i="14"/>
  <c r="N52" i="14"/>
  <c r="AD52" i="14" s="1"/>
  <c r="N51" i="14"/>
  <c r="AD51" i="14" s="1"/>
  <c r="N50" i="14"/>
  <c r="AD50" i="14" s="1"/>
  <c r="N49" i="14"/>
  <c r="AD49" i="14" s="1"/>
  <c r="N48" i="14"/>
  <c r="AD48" i="14" s="1"/>
  <c r="N47" i="14"/>
  <c r="AD47" i="14" s="1"/>
  <c r="N46" i="14"/>
  <c r="AD46" i="14" s="1"/>
  <c r="N45" i="14"/>
  <c r="AD45" i="14" s="1"/>
  <c r="N44" i="14"/>
  <c r="AD44" i="14" s="1"/>
  <c r="N43" i="14"/>
  <c r="AD43" i="14" s="1"/>
  <c r="N42" i="14"/>
  <c r="AD42" i="14" s="1"/>
  <c r="N41" i="14"/>
  <c r="AD41" i="14" s="1"/>
  <c r="N40" i="14"/>
  <c r="AD40" i="14" s="1"/>
  <c r="N39" i="14"/>
  <c r="AD39" i="14" s="1"/>
  <c r="N38" i="14"/>
  <c r="AD38" i="14" s="1"/>
  <c r="N37" i="14"/>
  <c r="AD37" i="14" s="1"/>
  <c r="N36" i="14"/>
  <c r="AD36" i="14" s="1"/>
  <c r="N35" i="14"/>
  <c r="AD35" i="14" s="1"/>
  <c r="N34" i="14"/>
  <c r="AD34" i="14" s="1"/>
  <c r="N33" i="14"/>
  <c r="AD33" i="14" s="1"/>
  <c r="N32" i="14"/>
  <c r="AD32" i="14" s="1"/>
  <c r="N31" i="14"/>
  <c r="AD31" i="14" s="1"/>
  <c r="N30" i="14"/>
  <c r="N29" i="14"/>
  <c r="N28" i="14"/>
  <c r="AD28" i="14" s="1"/>
  <c r="N27" i="14"/>
  <c r="AD27" i="14" s="1"/>
  <c r="N26" i="14"/>
  <c r="AD26" i="14" s="1"/>
  <c r="L26" i="14"/>
  <c r="AB26" i="14" s="1"/>
  <c r="J26" i="14"/>
  <c r="M26" i="14" s="1"/>
  <c r="AC26" i="14" s="1"/>
  <c r="N25" i="14"/>
  <c r="AD25" i="14" s="1"/>
  <c r="L25" i="14"/>
  <c r="AB25" i="14" s="1"/>
  <c r="J25" i="14"/>
  <c r="M25" i="14" s="1"/>
  <c r="AC25" i="14" s="1"/>
  <c r="N24" i="14"/>
  <c r="AD24" i="14" s="1"/>
  <c r="L24" i="14"/>
  <c r="AB24" i="14" s="1"/>
  <c r="J24" i="14"/>
  <c r="M24" i="14" s="1"/>
  <c r="AC24" i="14" s="1"/>
  <c r="N23" i="14"/>
  <c r="AD23" i="14" s="1"/>
  <c r="L23" i="14"/>
  <c r="AB23" i="14" s="1"/>
  <c r="J23" i="14"/>
  <c r="M23" i="14" s="1"/>
  <c r="AC23" i="14" s="1"/>
  <c r="N22" i="14"/>
  <c r="AD22" i="14" s="1"/>
  <c r="M22" i="14"/>
  <c r="AC22" i="14" s="1"/>
  <c r="J22" i="14"/>
  <c r="L22" i="14" s="1"/>
  <c r="AB22" i="14" s="1"/>
  <c r="N21" i="14"/>
  <c r="AD21" i="14" s="1"/>
  <c r="M21" i="14"/>
  <c r="AC21" i="14" s="1"/>
  <c r="J21" i="14"/>
  <c r="L21" i="14" s="1"/>
  <c r="AB21" i="14" s="1"/>
  <c r="M20" i="14"/>
  <c r="AC20" i="14" s="1"/>
  <c r="L20" i="14"/>
  <c r="AB20" i="14" s="1"/>
  <c r="J20" i="14"/>
  <c r="N20" i="14" s="1"/>
  <c r="N16" i="14"/>
  <c r="L16" i="14"/>
  <c r="AB16" i="14" s="1"/>
  <c r="J16" i="14"/>
  <c r="M16" i="14" s="1"/>
  <c r="AC16" i="14" s="1"/>
  <c r="N15" i="14"/>
  <c r="AD15" i="14" s="1"/>
  <c r="L15" i="14"/>
  <c r="J15" i="14"/>
  <c r="M15" i="14" s="1"/>
  <c r="AC15" i="14" s="1"/>
  <c r="N14" i="14"/>
  <c r="AD14" i="14" s="1"/>
  <c r="L14" i="14"/>
  <c r="AB14" i="14" s="1"/>
  <c r="J14" i="14"/>
  <c r="M14" i="14" s="1"/>
  <c r="N13" i="14"/>
  <c r="AD13" i="14" s="1"/>
  <c r="L13" i="14"/>
  <c r="J13" i="14"/>
  <c r="M13" i="14" s="1"/>
  <c r="AC13" i="14" s="1"/>
  <c r="N12" i="14"/>
  <c r="L12" i="14"/>
  <c r="AB12" i="14" s="1"/>
  <c r="J12" i="14"/>
  <c r="M12" i="14" s="1"/>
  <c r="AC12" i="14" s="1"/>
  <c r="N11" i="14"/>
  <c r="AD11" i="14" s="1"/>
  <c r="L11" i="14"/>
  <c r="J11" i="14"/>
  <c r="M11" i="14" s="1"/>
  <c r="AC11" i="14" s="1"/>
  <c r="N10" i="14"/>
  <c r="AD10" i="14" s="1"/>
  <c r="L10" i="14"/>
  <c r="J10" i="14"/>
  <c r="M10" i="14" s="1"/>
  <c r="AC10" i="14" s="1"/>
  <c r="N9" i="14"/>
  <c r="AD9" i="14" s="1"/>
  <c r="M9" i="14"/>
  <c r="AC9" i="14" s="1"/>
  <c r="J9" i="14"/>
  <c r="L9" i="14" s="1"/>
  <c r="AB9" i="14" s="1"/>
  <c r="M8" i="14"/>
  <c r="L8" i="14"/>
  <c r="J8" i="14"/>
  <c r="N8" i="14" s="1"/>
  <c r="AD8" i="14" s="1"/>
  <c r="M7" i="14"/>
  <c r="L7" i="14"/>
  <c r="J7" i="14"/>
  <c r="N7" i="14" s="1"/>
  <c r="AD7" i="14" s="1"/>
  <c r="N6" i="14"/>
  <c r="L6" i="14"/>
  <c r="AB6" i="14" s="1"/>
  <c r="J6" i="14"/>
  <c r="M6" i="14" s="1"/>
  <c r="AC6" i="14" s="1"/>
  <c r="N5" i="14"/>
  <c r="L5" i="14"/>
  <c r="J5" i="14"/>
  <c r="M5" i="14" s="1"/>
  <c r="AC5" i="14" s="1"/>
  <c r="N4" i="14"/>
  <c r="AD4" i="14" s="1"/>
  <c r="L4" i="14"/>
  <c r="AB4" i="14" s="1"/>
  <c r="J4" i="14"/>
  <c r="M4" i="14" s="1"/>
  <c r="N3" i="14"/>
  <c r="AD3" i="14" s="1"/>
  <c r="L3" i="14"/>
  <c r="AB3" i="14" s="1"/>
  <c r="J3" i="14"/>
  <c r="M3" i="14" s="1"/>
  <c r="N2" i="14"/>
  <c r="L2" i="14"/>
  <c r="AB2" i="14" s="1"/>
  <c r="J2" i="14"/>
  <c r="M2" i="14" s="1"/>
  <c r="AC2" i="14" s="1"/>
  <c r="AC137" i="14"/>
  <c r="AC136" i="14"/>
  <c r="AC135" i="14"/>
  <c r="AC134" i="14"/>
  <c r="AC133" i="14"/>
  <c r="AC132" i="14"/>
  <c r="AC131" i="14"/>
  <c r="AC130" i="14"/>
  <c r="AC129" i="14"/>
  <c r="AC128" i="14"/>
  <c r="AC127" i="14"/>
  <c r="AC126" i="14"/>
  <c r="AC125" i="14"/>
  <c r="AC124" i="14"/>
  <c r="AD123" i="14"/>
  <c r="AB123" i="14"/>
  <c r="AD122" i="14"/>
  <c r="AB122" i="14"/>
  <c r="AD121" i="14"/>
  <c r="AB121" i="14"/>
  <c r="AD120" i="14"/>
  <c r="AB120" i="14"/>
  <c r="AD119" i="14"/>
  <c r="AB119" i="14"/>
  <c r="AD118" i="14"/>
  <c r="AB118" i="14"/>
  <c r="AD117" i="14"/>
  <c r="AB117" i="14"/>
  <c r="AD116" i="14"/>
  <c r="AB116" i="14"/>
  <c r="AD115" i="14"/>
  <c r="AB115" i="14"/>
  <c r="AD114" i="14"/>
  <c r="AB114" i="14"/>
  <c r="AD113" i="14"/>
  <c r="AB113" i="14"/>
  <c r="AD112" i="14"/>
  <c r="AB112" i="14"/>
  <c r="AD111" i="14"/>
  <c r="AB111" i="14"/>
  <c r="AD110" i="14"/>
  <c r="AB110" i="14"/>
  <c r="AD109" i="14"/>
  <c r="AB109" i="14"/>
  <c r="AD108" i="14"/>
  <c r="AB108" i="14"/>
  <c r="AD107" i="14"/>
  <c r="AB107" i="14"/>
  <c r="AD106" i="14"/>
  <c r="AB106" i="14"/>
  <c r="AD105" i="14"/>
  <c r="AB105" i="14"/>
  <c r="AC105" i="14"/>
  <c r="AD104" i="14"/>
  <c r="AB104" i="14"/>
  <c r="AC104" i="14"/>
  <c r="AD103" i="14"/>
  <c r="AB103" i="14"/>
  <c r="AC103" i="14"/>
  <c r="AB102" i="14"/>
  <c r="AD102" i="14"/>
  <c r="AC102" i="14"/>
  <c r="AB101" i="14"/>
  <c r="AD101" i="14"/>
  <c r="AB100" i="14"/>
  <c r="AB99" i="14"/>
  <c r="AB98" i="14"/>
  <c r="AB97" i="14"/>
  <c r="AB96" i="14"/>
  <c r="AB95" i="14"/>
  <c r="AB94" i="14"/>
  <c r="AB93" i="14"/>
  <c r="AB92" i="14"/>
  <c r="AB91" i="14"/>
  <c r="AB90" i="14"/>
  <c r="AB89" i="14"/>
  <c r="AB88" i="14"/>
  <c r="AB87" i="14"/>
  <c r="AB86" i="14"/>
  <c r="AB85" i="14"/>
  <c r="AB84" i="14"/>
  <c r="AB83" i="14"/>
  <c r="AB82" i="14"/>
  <c r="AB81" i="14"/>
  <c r="AB80" i="14"/>
  <c r="AC80" i="14"/>
  <c r="AB79" i="14"/>
  <c r="AD79" i="14"/>
  <c r="AC79" i="14"/>
  <c r="AB78" i="14"/>
  <c r="AD78" i="14"/>
  <c r="AC78" i="14"/>
  <c r="AB77" i="14"/>
  <c r="AD77" i="14"/>
  <c r="AB76" i="14"/>
  <c r="AB75" i="14"/>
  <c r="AB74" i="14"/>
  <c r="AB73" i="14"/>
  <c r="AB72" i="14"/>
  <c r="AB71" i="14"/>
  <c r="AB70" i="14"/>
  <c r="AB69" i="14"/>
  <c r="AB68" i="14"/>
  <c r="AB67" i="14"/>
  <c r="AB66" i="14"/>
  <c r="AB65" i="14"/>
  <c r="AB64" i="14"/>
  <c r="AB63" i="14"/>
  <c r="AB62" i="14"/>
  <c r="AB61" i="14"/>
  <c r="AB60" i="14"/>
  <c r="AB59" i="14"/>
  <c r="AB58" i="14"/>
  <c r="AB57" i="14"/>
  <c r="AC56" i="14"/>
  <c r="AB56" i="14"/>
  <c r="AC55" i="14"/>
  <c r="AB55" i="14"/>
  <c r="AD55" i="14"/>
  <c r="AC54" i="14"/>
  <c r="AB54" i="14"/>
  <c r="AD54" i="14"/>
  <c r="AC53" i="14"/>
  <c r="AB53" i="14"/>
  <c r="AD53" i="14"/>
  <c r="AC52" i="14"/>
  <c r="AB52" i="14"/>
  <c r="AC51" i="14"/>
  <c r="AB51" i="14"/>
  <c r="AC50" i="14"/>
  <c r="AB50" i="14"/>
  <c r="AC49" i="14"/>
  <c r="AB49" i="14"/>
  <c r="AC48" i="14"/>
  <c r="AB48" i="14"/>
  <c r="AC47" i="14"/>
  <c r="AB47" i="14"/>
  <c r="AC46" i="14"/>
  <c r="AB46" i="14"/>
  <c r="AC45" i="14"/>
  <c r="AB45" i="14"/>
  <c r="AC44" i="14"/>
  <c r="AB44" i="14"/>
  <c r="AC43" i="14"/>
  <c r="AB43" i="14"/>
  <c r="AC42" i="14"/>
  <c r="AB42" i="14"/>
  <c r="AC41" i="14"/>
  <c r="AB41" i="14"/>
  <c r="AC40" i="14"/>
  <c r="AB40" i="14"/>
  <c r="AC39" i="14"/>
  <c r="AB39" i="14"/>
  <c r="AC38" i="14"/>
  <c r="AB38" i="14"/>
  <c r="AC37" i="14"/>
  <c r="AB37" i="14"/>
  <c r="AC36" i="14"/>
  <c r="AB36" i="14"/>
  <c r="AC35" i="14"/>
  <c r="AB35" i="14"/>
  <c r="AC34" i="14"/>
  <c r="AB34" i="14"/>
  <c r="AC33" i="14"/>
  <c r="AB33" i="14"/>
  <c r="AC32" i="14"/>
  <c r="AB32" i="14"/>
  <c r="AC31" i="14"/>
  <c r="AB31" i="14"/>
  <c r="AC30" i="14"/>
  <c r="AB30" i="14"/>
  <c r="AD30" i="14"/>
  <c r="AC29" i="14"/>
  <c r="AB29" i="14"/>
  <c r="AD29" i="14"/>
  <c r="AC28" i="14"/>
  <c r="AB28" i="14"/>
  <c r="AC27" i="14"/>
  <c r="AB27" i="14"/>
  <c r="AC8" i="14"/>
  <c r="AC7" i="14"/>
  <c r="AB5" i="14"/>
  <c r="AD25" i="19" l="1"/>
  <c r="AD26" i="19"/>
  <c r="AC22" i="19"/>
  <c r="AC23" i="19"/>
  <c r="AC24" i="19"/>
  <c r="AB7" i="19"/>
  <c r="AB9" i="19"/>
  <c r="AB17" i="19"/>
  <c r="AB10" i="19"/>
  <c r="AB18" i="19"/>
  <c r="W4" i="19"/>
  <c r="AB2" i="19"/>
  <c r="Y4" i="19"/>
  <c r="AC3" i="19"/>
  <c r="Y5" i="19"/>
  <c r="X5" i="19"/>
  <c r="W5" i="19"/>
  <c r="X4" i="19"/>
  <c r="Y6" i="19"/>
  <c r="X6" i="19"/>
  <c r="W6" i="19"/>
  <c r="AD2" i="19"/>
  <c r="W6" i="18"/>
  <c r="W5" i="18"/>
  <c r="X5" i="18"/>
  <c r="Y5" i="18"/>
  <c r="AC2" i="18"/>
  <c r="AD2" i="18"/>
  <c r="Y6" i="18"/>
  <c r="W4" i="18"/>
  <c r="X6" i="18"/>
  <c r="X4" i="18"/>
  <c r="Y4" i="18"/>
  <c r="X5" i="17"/>
  <c r="Y6" i="17"/>
  <c r="X4" i="17"/>
  <c r="W5" i="17"/>
  <c r="AD2" i="17"/>
  <c r="AC2" i="17"/>
  <c r="Y5" i="17"/>
  <c r="W6" i="17"/>
  <c r="X6" i="17"/>
  <c r="W4" i="17"/>
  <c r="Y4" i="17"/>
  <c r="AB2" i="17"/>
  <c r="AB20" i="16"/>
  <c r="AB21" i="16"/>
  <c r="AB22" i="16"/>
  <c r="AB23" i="16"/>
  <c r="N6" i="16"/>
  <c r="AD6" i="16" s="1"/>
  <c r="M11" i="16"/>
  <c r="AC11" i="16" s="1"/>
  <c r="L12" i="16"/>
  <c r="AB12" i="16" s="1"/>
  <c r="L13" i="16"/>
  <c r="AB13" i="16" s="1"/>
  <c r="L8" i="16"/>
  <c r="AB8" i="16" s="1"/>
  <c r="L2" i="16"/>
  <c r="N16" i="16"/>
  <c r="AD16" i="16" s="1"/>
  <c r="L10" i="16"/>
  <c r="AB10" i="16" s="1"/>
  <c r="N5" i="16"/>
  <c r="AD5" i="16" s="1"/>
  <c r="AC2" i="16"/>
  <c r="Y6" i="16"/>
  <c r="X6" i="16"/>
  <c r="W6" i="16"/>
  <c r="AB2" i="16"/>
  <c r="AD2" i="16"/>
  <c r="Y5" i="15"/>
  <c r="Y6" i="15"/>
  <c r="W5" i="15"/>
  <c r="AD2" i="15"/>
  <c r="X4" i="15"/>
  <c r="Y4" i="15"/>
  <c r="W4" i="15"/>
  <c r="AC2" i="15"/>
  <c r="X5" i="15"/>
  <c r="W6" i="15"/>
  <c r="X6" i="15"/>
  <c r="AB11" i="14"/>
  <c r="AD5" i="14"/>
  <c r="AB15" i="14"/>
  <c r="AD12" i="14"/>
  <c r="AD6" i="14"/>
  <c r="AB7" i="14"/>
  <c r="AB8" i="14"/>
  <c r="X5" i="14"/>
  <c r="AB10" i="14"/>
  <c r="AD16" i="14"/>
  <c r="AC4" i="14"/>
  <c r="AB13" i="14"/>
  <c r="AC14" i="14"/>
  <c r="AD20" i="14"/>
  <c r="AD2" i="14"/>
  <c r="X4" i="16" l="1"/>
  <c r="X5" i="16"/>
  <c r="W4" i="16"/>
  <c r="Y4" i="16"/>
  <c r="Y5" i="16"/>
  <c r="W5" i="16"/>
  <c r="W5" i="14"/>
  <c r="Y5" i="14"/>
  <c r="AC3" i="14"/>
  <c r="X6" i="14"/>
  <c r="Y6" i="14"/>
  <c r="W4" i="14"/>
  <c r="Y4" i="14"/>
  <c r="X4" i="14"/>
  <c r="W6" i="14"/>
</calcChain>
</file>

<file path=xl/sharedStrings.xml><?xml version="1.0" encoding="utf-8"?>
<sst xmlns="http://schemas.openxmlformats.org/spreadsheetml/2006/main" count="597" uniqueCount="194">
  <si>
    <t>Prop</t>
  </si>
  <si>
    <t>range</t>
  </si>
  <si>
    <t>Price [€/kWh]</t>
  </si>
  <si>
    <t>Year</t>
  </si>
  <si>
    <t>NMC</t>
  </si>
  <si>
    <t>NMC/LMO</t>
  </si>
  <si>
    <t>LFP</t>
  </si>
  <si>
    <t>Min</t>
  </si>
  <si>
    <t>Max</t>
  </si>
  <si>
    <t>Avg</t>
  </si>
  <si>
    <t>Study</t>
  </si>
  <si>
    <t>Ref</t>
  </si>
  <si>
    <t>Price</t>
  </si>
  <si>
    <t>Irena (2017)</t>
  </si>
  <si>
    <t>[1]</t>
  </si>
  <si>
    <t>NMC: 145 €/kWh</t>
  </si>
  <si>
    <t>NMC/LMO: 167 €/kWh</t>
  </si>
  <si>
    <t xml:space="preserve">LFP: 224 €/kWh     </t>
  </si>
  <si>
    <t>NREL (2021)</t>
  </si>
  <si>
    <t>[2]</t>
  </si>
  <si>
    <t>143-248 €/kWh</t>
  </si>
  <si>
    <t xml:space="preserve">87-248 €/kWh     </t>
  </si>
  <si>
    <t>Mauler (2021)</t>
  </si>
  <si>
    <t>[3]</t>
  </si>
  <si>
    <t xml:space="preserve">234 $/kWh     </t>
  </si>
  <si>
    <t>132 $/kWh</t>
  </si>
  <si>
    <t>NMC: 145 (84-318) €/kWh</t>
  </si>
  <si>
    <t>LFP: 222 (107-526) €/kWh</t>
  </si>
  <si>
    <t>71 $/kWh</t>
  </si>
  <si>
    <t>Penisa (2020)</t>
  </si>
  <si>
    <t>[4]</t>
  </si>
  <si>
    <t xml:space="preserve">100 $/kWh     </t>
  </si>
  <si>
    <t>Beuse (2020)</t>
  </si>
  <si>
    <t>[5]</t>
  </si>
  <si>
    <t>316 $/kWh</t>
  </si>
  <si>
    <t xml:space="preserve">110-157 €/kWh     </t>
  </si>
  <si>
    <t>Chen (2023)</t>
  </si>
  <si>
    <t>[6]</t>
  </si>
  <si>
    <t>97-220 €/kWh</t>
  </si>
  <si>
    <t>Today</t>
  </si>
  <si>
    <t>avg</t>
  </si>
  <si>
    <t>max</t>
  </si>
  <si>
    <t>min</t>
  </si>
  <si>
    <t>year 2030</t>
  </si>
  <si>
    <t>year 2050</t>
  </si>
  <si>
    <t>IEA (2019)</t>
  </si>
  <si>
    <t>[7]</t>
  </si>
  <si>
    <t>500-1400</t>
  </si>
  <si>
    <t>400-850</t>
  </si>
  <si>
    <t>200-700</t>
  </si>
  <si>
    <t>IEA (2020)</t>
  </si>
  <si>
    <t>[8]</t>
  </si>
  <si>
    <t>410-530</t>
  </si>
  <si>
    <t>320-385</t>
  </si>
  <si>
    <t>NetZero (2021)</t>
  </si>
  <si>
    <t>[9]</t>
  </si>
  <si>
    <t>750-1160</t>
  </si>
  <si>
    <t>225-460</t>
  </si>
  <si>
    <t>180-350</t>
  </si>
  <si>
    <t>IRENA (2020)</t>
  </si>
  <si>
    <t>[10]</t>
  </si>
  <si>
    <t>500-1000</t>
  </si>
  <si>
    <t>Schmidt (2017)</t>
  </si>
  <si>
    <t>[11]</t>
  </si>
  <si>
    <t>700-1000</t>
  </si>
  <si>
    <t>Gallardo (2021)</t>
  </si>
  <si>
    <t>[12]</t>
  </si>
  <si>
    <t>500-700</t>
  </si>
  <si>
    <t>400-500</t>
  </si>
  <si>
    <t>IRENA (2019)</t>
  </si>
  <si>
    <t>[13]</t>
  </si>
  <si>
    <t>Gorre (2020)</t>
  </si>
  <si>
    <t>[14]</t>
  </si>
  <si>
    <t>ESCG (2022)</t>
  </si>
  <si>
    <t>[15]</t>
  </si>
  <si>
    <t>Bohm (2020)</t>
  </si>
  <si>
    <t>[16]</t>
  </si>
  <si>
    <t>Grigoriev (2020)</t>
  </si>
  <si>
    <t>[17]</t>
  </si>
  <si>
    <t>Roos (2021)</t>
  </si>
  <si>
    <t>[18]</t>
  </si>
  <si>
    <t>419-1153</t>
  </si>
  <si>
    <t>342-726</t>
  </si>
  <si>
    <t>171-589</t>
  </si>
  <si>
    <t>1100-1800</t>
  </si>
  <si>
    <t>650-1500</t>
  </si>
  <si>
    <t>200-900</t>
  </si>
  <si>
    <t>700-1400</t>
  </si>
  <si>
    <t>700-1600</t>
  </si>
  <si>
    <t>650-750</t>
  </si>
  <si>
    <t>Baldi (2022)</t>
  </si>
  <si>
    <t>[19]</t>
  </si>
  <si>
    <t>Fraunhofer (2021)</t>
  </si>
  <si>
    <t>[20]</t>
  </si>
  <si>
    <t>Ozden (2017)</t>
  </si>
  <si>
    <t>[21]</t>
  </si>
  <si>
    <t>500 €/kg</t>
  </si>
  <si>
    <t>Leeuwen (2018)</t>
  </si>
  <si>
    <t>[22]</t>
  </si>
  <si>
    <t>490 €/kg</t>
  </si>
  <si>
    <t>Kharel (2018)</t>
  </si>
  <si>
    <t>[23]</t>
  </si>
  <si>
    <t>430 €/kg</t>
  </si>
  <si>
    <t>Niaz (2015)</t>
  </si>
  <si>
    <t>[24]</t>
  </si>
  <si>
    <t>400-530 €/kg</t>
  </si>
  <si>
    <t>Rivard (2019)</t>
  </si>
  <si>
    <t>[25]</t>
  </si>
  <si>
    <t>630 €/kg</t>
  </si>
  <si>
    <t>100 $/m3</t>
  </si>
  <si>
    <t>Ulleberg (2020)</t>
  </si>
  <si>
    <t>[26]</t>
  </si>
  <si>
    <t>250 bar: 550 €/kg</t>
  </si>
  <si>
    <t>250 bar</t>
  </si>
  <si>
    <t>450 bar: 715 €/kg</t>
  </si>
  <si>
    <t>450 bar</t>
  </si>
  <si>
    <t>700 bar: 1750 €/kg</t>
  </si>
  <si>
    <t>700 bar</t>
  </si>
  <si>
    <t>CleanH2 (2023)</t>
  </si>
  <si>
    <t>[27]</t>
  </si>
  <si>
    <t>300 €/kg</t>
  </si>
  <si>
    <t>Parks (2014)</t>
  </si>
  <si>
    <t>[28]</t>
  </si>
  <si>
    <t>172 bar: 470 $/kg</t>
  </si>
  <si>
    <t>172 bar</t>
  </si>
  <si>
    <t>875 bar. 1400 $/kg</t>
  </si>
  <si>
    <t>875 bar</t>
  </si>
  <si>
    <t>Ikäheimo (2018)</t>
  </si>
  <si>
    <t>[29]</t>
  </si>
  <si>
    <t>700 bar: 500 €/kg</t>
  </si>
  <si>
    <t>SANDIA (2011)</t>
  </si>
  <si>
    <t>[30]</t>
  </si>
  <si>
    <t>500 $/kg</t>
  </si>
  <si>
    <t>80 $/kg (target cost)</t>
  </si>
  <si>
    <t>tbd</t>
  </si>
  <si>
    <t>Shin (2023)</t>
  </si>
  <si>
    <t>[31]</t>
  </si>
  <si>
    <t>350 bar: 400 $/kg</t>
  </si>
  <si>
    <t>350 bar</t>
  </si>
  <si>
    <t>700 bar: 700 $/kg</t>
  </si>
  <si>
    <t>1600-5000 $/kW</t>
  </si>
  <si>
    <t>Sens (2022)</t>
  </si>
  <si>
    <t>[33]</t>
  </si>
  <si>
    <t>628 €/kW</t>
  </si>
  <si>
    <t>250 – 430 €/kW</t>
  </si>
  <si>
    <t>170 – 330 €/kW</t>
  </si>
  <si>
    <t xml:space="preserve">940-1210 </t>
  </si>
  <si>
    <t>820-1120</t>
  </si>
  <si>
    <t>[34]</t>
  </si>
  <si>
    <t>1210 USD/kW</t>
  </si>
  <si>
    <t>340 – 834 USD/kW</t>
  </si>
  <si>
    <t>165 – 481 USD/kW</t>
  </si>
  <si>
    <t>[35]</t>
  </si>
  <si>
    <t>667 – 1321 USD/kW</t>
  </si>
  <si>
    <t>Emerging c</t>
  </si>
  <si>
    <t>Statista</t>
  </si>
  <si>
    <t>[36]</t>
  </si>
  <si>
    <t>876 USD/kW</t>
  </si>
  <si>
    <t>Global avg</t>
  </si>
  <si>
    <t>983 USD/kW</t>
  </si>
  <si>
    <t>917 USD/kW</t>
  </si>
  <si>
    <t>1055 – 2213 USD/kW</t>
  </si>
  <si>
    <t>IRENA (2022)</t>
  </si>
  <si>
    <t>[37]</t>
  </si>
  <si>
    <t>1626 USD/kW</t>
  </si>
  <si>
    <t>Europe</t>
  </si>
  <si>
    <t>1274 USD/kW</t>
  </si>
  <si>
    <t>800 – 1350 USD/kW</t>
  </si>
  <si>
    <t>650 – 1000 USD/kW</t>
  </si>
  <si>
    <t>Target</t>
  </si>
  <si>
    <t>DOE (2020)</t>
  </si>
  <si>
    <t>266 €/kg</t>
  </si>
  <si>
    <t>[32]</t>
  </si>
  <si>
    <t>Sens (2024)</t>
  </si>
  <si>
    <t>460 (220-600) €/kg</t>
  </si>
  <si>
    <t>100 bar</t>
  </si>
  <si>
    <t>Villalonga (2021)</t>
  </si>
  <si>
    <t>438 USD/kg</t>
  </si>
  <si>
    <t>328 USD/kg</t>
  </si>
  <si>
    <t>IEA (2015)</t>
  </si>
  <si>
    <t>14 USD/kWh</t>
  </si>
  <si>
    <t>13 USD/kWh</t>
  </si>
  <si>
    <t>Consider</t>
  </si>
  <si>
    <t>yes</t>
  </si>
  <si>
    <t>no</t>
  </si>
  <si>
    <t>[39]</t>
  </si>
  <si>
    <t>[41]</t>
  </si>
  <si>
    <t>[42]</t>
  </si>
  <si>
    <t>year</t>
  </si>
  <si>
    <t>NREL (2023)</t>
  </si>
  <si>
    <t>338 $/kWh</t>
  </si>
  <si>
    <t xml:space="preserve">10h </t>
  </si>
  <si>
    <t>537 $/kWh</t>
  </si>
  <si>
    <t>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</si>
</sst>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E5B3E9"/>
        <bgColor indexed="64"/>
      </patternFill>
    </fill>
    <fill>
      <patternFill patternType="solid">
        <fgColor rgb="FFD6BBEB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3"/>
    <xf numFmtId="0" fontId="4" fillId="8" borderId="9" applyNumberFormat="0" applyFont="0" applyBorder="0" applyAlignment="0" applyProtection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6" fillId="0" borderId="0" xfId="0" applyFont="1"/>
    <xf numFmtId="0" fontId="3" fillId="0" borderId="4" xfId="0" applyFont="1" applyBorder="1"/>
    <xf numFmtId="0" fontId="5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6" borderId="7" xfId="5" applyFont="1" applyBorder="1"/>
    <xf numFmtId="0" fontId="3" fillId="5" borderId="8" xfId="4" applyFont="1" applyBorder="1"/>
    <xf numFmtId="0" fontId="0" fillId="0" borderId="10" xfId="0" applyBorder="1"/>
    <xf numFmtId="1" fontId="0" fillId="0" borderId="10" xfId="0" applyNumberFormat="1" applyBorder="1"/>
    <xf numFmtId="0" fontId="0" fillId="0" borderId="11" xfId="0" applyBorder="1"/>
    <xf numFmtId="0" fontId="1" fillId="3" borderId="12" xfId="2" applyBorder="1"/>
    <xf numFmtId="0" fontId="1" fillId="4" borderId="12" xfId="3" applyBorder="1"/>
    <xf numFmtId="0" fontId="1" fillId="2" borderId="13" xfId="1" applyBorder="1"/>
    <xf numFmtId="0" fontId="3" fillId="6" borderId="14" xfId="5" applyFont="1" applyBorder="1"/>
    <xf numFmtId="0" fontId="0" fillId="0" borderId="15" xfId="0" applyBorder="1"/>
    <xf numFmtId="0" fontId="3" fillId="5" borderId="14" xfId="4" applyFont="1" applyBorder="1"/>
    <xf numFmtId="0" fontId="3" fillId="7" borderId="16" xfId="6" applyFont="1" applyBorder="1"/>
    <xf numFmtId="1" fontId="0" fillId="0" borderId="17" xfId="0" applyNumberFormat="1" applyBorder="1"/>
    <xf numFmtId="0" fontId="0" fillId="0" borderId="17" xfId="0" applyBorder="1"/>
    <xf numFmtId="0" fontId="0" fillId="0" borderId="18" xfId="0" applyBorder="1"/>
    <xf numFmtId="0" fontId="3" fillId="7" borderId="19" xfId="6" applyFont="1" applyBorder="1"/>
  </cellXfs>
  <cellStyles count="8">
    <cellStyle name="40% - Accent2" xfId="1" builtinId="35"/>
    <cellStyle name="40% - Accent4" xfId="5" builtinId="43"/>
    <cellStyle name="40% - Accent5" xfId="3" builtinId="47"/>
    <cellStyle name="40% - Accent6" xfId="4" builtinId="51"/>
    <cellStyle name="60% - Accent3" xfId="2" builtinId="40"/>
    <cellStyle name="Normal" xfId="0" builtinId="0"/>
    <cellStyle name="Style 1" xfId="6" xr:uid="{28ECE2AD-FABE-42C0-A581-F0826A7948BC}"/>
    <cellStyle name="Style 2" xfId="7" xr:uid="{ADD0D755-92DC-4EA7-9332-45D8C58B04C5}"/>
  </cellStyles>
  <dxfs count="33"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E2CFF1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E2CFF1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E2CFF1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E2CFF1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E2CFF1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E2CFF1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E2CFF1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E2CFF1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E2CFF1"/>
        </patternFill>
      </fill>
    </dxf>
  </dxfs>
  <tableStyles count="0" defaultTableStyle="TableStyleMedium2" defaultPivotStyle="PivotStyleLight16"/>
  <colors>
    <mruColors>
      <color rgb="FFD6BBEB"/>
      <color rgb="FFE2CFF1"/>
      <color rgb="FFC9A6E4"/>
      <color rgb="FFE5B3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99678710949383"/>
          <c:y val="0.1568066491688539"/>
          <c:w val="0.85000012170039785"/>
          <c:h val="0.73583223972003498"/>
        </c:manualLayout>
      </c:layout>
      <c:lineChart>
        <c:grouping val="standard"/>
        <c:varyColors val="0"/>
        <c:ser>
          <c:idx val="0"/>
          <c:order val="0"/>
          <c:tx>
            <c:strRef>
              <c:f>'Li-BESS'!$W$3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'Li-BESS'!$V$4:$V$6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'Li-BESS'!$W$4:$W$6</c:f>
              <c:numCache>
                <c:formatCode>0</c:formatCode>
                <c:ptCount val="3"/>
                <c:pt idx="0">
                  <c:v>297.5</c:v>
                </c:pt>
                <c:pt idx="1">
                  <c:v>189.75</c:v>
                </c:pt>
                <c:pt idx="2">
                  <c:v>167.5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0E-44E1-AE3D-A67538A8CEA6}"/>
            </c:ext>
          </c:extLst>
        </c:ser>
        <c:ser>
          <c:idx val="1"/>
          <c:order val="1"/>
          <c:tx>
            <c:strRef>
              <c:f>'Li-BESS'!$X$3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'Li-BESS'!$V$4:$V$6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'Li-BESS'!$X$4:$X$6</c:f>
              <c:numCache>
                <c:formatCode>General</c:formatCode>
                <c:ptCount val="3"/>
                <c:pt idx="0">
                  <c:v>100</c:v>
                </c:pt>
                <c:pt idx="1">
                  <c:v>84</c:v>
                </c:pt>
                <c:pt idx="2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0E-44E1-AE3D-A67538A8CEA6}"/>
            </c:ext>
          </c:extLst>
        </c:ser>
        <c:ser>
          <c:idx val="2"/>
          <c:order val="2"/>
          <c:tx>
            <c:strRef>
              <c:f>'Li-BESS'!$Y$3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'Li-BESS'!$V$4:$V$6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'Li-BESS'!$Y$4:$Y$6</c:f>
              <c:numCache>
                <c:formatCode>General</c:formatCode>
                <c:ptCount val="3"/>
                <c:pt idx="0">
                  <c:v>537</c:v>
                </c:pt>
                <c:pt idx="1">
                  <c:v>526</c:v>
                </c:pt>
                <c:pt idx="2">
                  <c:v>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0E-44E1-AE3D-A67538A8C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448448"/>
        <c:axId val="367450720"/>
      </c:lineChart>
      <c:catAx>
        <c:axId val="36744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7450720"/>
        <c:crosses val="autoZero"/>
        <c:auto val="1"/>
        <c:lblAlgn val="ctr"/>
        <c:lblOffset val="100"/>
        <c:noMultiLvlLbl val="0"/>
      </c:catAx>
      <c:valAx>
        <c:axId val="36745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744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99678710949383"/>
          <c:y val="0.1568066491688539"/>
          <c:w val="0.85000012170039785"/>
          <c:h val="0.73583223972003498"/>
        </c:manualLayout>
      </c:layout>
      <c:lineChart>
        <c:grouping val="standard"/>
        <c:varyColors val="0"/>
        <c:ser>
          <c:idx val="0"/>
          <c:order val="0"/>
          <c:tx>
            <c:strRef>
              <c:f>'ALK EL'!$W$3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'ALK EL'!$V$4:$V$6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'ALK EL'!$W$4:$W$6</c:f>
              <c:numCache>
                <c:formatCode>0</c:formatCode>
                <c:ptCount val="3"/>
                <c:pt idx="0">
                  <c:v>882.8</c:v>
                </c:pt>
                <c:pt idx="1">
                  <c:v>558.11764705882354</c:v>
                </c:pt>
                <c:pt idx="2">
                  <c:v>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5B-454E-BDE2-CDC4F024ADF0}"/>
            </c:ext>
          </c:extLst>
        </c:ser>
        <c:ser>
          <c:idx val="1"/>
          <c:order val="1"/>
          <c:tx>
            <c:strRef>
              <c:f>'ALK EL'!$X$3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'ALK EL'!$V$4:$V$6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'ALK EL'!$X$4:$X$6</c:f>
              <c:numCache>
                <c:formatCode>General</c:formatCode>
                <c:ptCount val="3"/>
                <c:pt idx="0">
                  <c:v>419</c:v>
                </c:pt>
                <c:pt idx="1">
                  <c:v>225</c:v>
                </c:pt>
                <c:pt idx="2">
                  <c:v>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5B-454E-BDE2-CDC4F024ADF0}"/>
            </c:ext>
          </c:extLst>
        </c:ser>
        <c:ser>
          <c:idx val="2"/>
          <c:order val="2"/>
          <c:tx>
            <c:strRef>
              <c:f>'ALK EL'!$Y$3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'ALK EL'!$V$4:$V$6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'ALK EL'!$Y$4:$Y$6</c:f>
              <c:numCache>
                <c:formatCode>General</c:formatCode>
                <c:ptCount val="3"/>
                <c:pt idx="0">
                  <c:v>1400</c:v>
                </c:pt>
                <c:pt idx="1">
                  <c:v>1000</c:v>
                </c:pt>
                <c:pt idx="2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5B-454E-BDE2-CDC4F024A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448448"/>
        <c:axId val="367450720"/>
      </c:lineChart>
      <c:catAx>
        <c:axId val="36744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7450720"/>
        <c:crosses val="autoZero"/>
        <c:auto val="1"/>
        <c:lblAlgn val="ctr"/>
        <c:lblOffset val="100"/>
        <c:noMultiLvlLbl val="0"/>
      </c:catAx>
      <c:valAx>
        <c:axId val="36745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744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99678710949383"/>
          <c:y val="0.1568066491688539"/>
          <c:w val="0.85000012170039785"/>
          <c:h val="0.73583223972003498"/>
        </c:manualLayout>
      </c:layout>
      <c:lineChart>
        <c:grouping val="standard"/>
        <c:varyColors val="0"/>
        <c:ser>
          <c:idx val="0"/>
          <c:order val="0"/>
          <c:tx>
            <c:strRef>
              <c:f>'PEM FC'!$W$3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'PEM FC'!$V$4:$V$6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'PEM FC'!$W$4:$W$6</c:f>
              <c:numCache>
                <c:formatCode>0</c:formatCode>
                <c:ptCount val="3"/>
                <c:pt idx="0">
                  <c:v>957.5</c:v>
                </c:pt>
                <c:pt idx="1">
                  <c:v>746.66666666666663</c:v>
                </c:pt>
                <c:pt idx="2">
                  <c:v>433.33333333333331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28-4A60-B097-8CE27FEC2BF9}"/>
            </c:ext>
          </c:extLst>
        </c:ser>
        <c:ser>
          <c:idx val="1"/>
          <c:order val="1"/>
          <c:tx>
            <c:strRef>
              <c:f>'PEM FC'!$X$3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'PEM FC'!$V$4:$V$6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'PEM FC'!$X$4:$X$6</c:f>
              <c:numCache>
                <c:formatCode>General</c:formatCode>
                <c:ptCount val="3"/>
                <c:pt idx="0">
                  <c:v>700</c:v>
                </c:pt>
                <c:pt idx="1">
                  <c:v>350</c:v>
                </c:pt>
                <c:pt idx="2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28-4A60-B097-8CE27FEC2BF9}"/>
            </c:ext>
          </c:extLst>
        </c:ser>
        <c:ser>
          <c:idx val="2"/>
          <c:order val="2"/>
          <c:tx>
            <c:strRef>
              <c:f>'PEM FC'!$Y$3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'PEM FC'!$V$4:$V$6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'PEM FC'!$Y$4:$Y$6</c:f>
              <c:numCache>
                <c:formatCode>General</c:formatCode>
                <c:ptCount val="3"/>
                <c:pt idx="0">
                  <c:v>1400</c:v>
                </c:pt>
                <c:pt idx="1">
                  <c:v>1600</c:v>
                </c:pt>
                <c:pt idx="2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28-4A60-B097-8CE27FEC2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448448"/>
        <c:axId val="367450720"/>
      </c:lineChart>
      <c:catAx>
        <c:axId val="36744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7450720"/>
        <c:crosses val="autoZero"/>
        <c:auto val="1"/>
        <c:lblAlgn val="ctr"/>
        <c:lblOffset val="100"/>
        <c:noMultiLvlLbl val="0"/>
      </c:catAx>
      <c:valAx>
        <c:axId val="36745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744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99678710949383"/>
          <c:y val="0.1568066491688539"/>
          <c:w val="0.85000012170039785"/>
          <c:h val="0.73583223972003498"/>
        </c:manualLayout>
      </c:layout>
      <c:lineChart>
        <c:grouping val="standard"/>
        <c:varyColors val="0"/>
        <c:ser>
          <c:idx val="0"/>
          <c:order val="0"/>
          <c:tx>
            <c:strRef>
              <c:f>'H2 Tank'!$W$3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'H2 Tank'!$V$4:$V$6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'H2 Tank'!$W$4:$W$6</c:f>
              <c:numCache>
                <c:formatCode>0</c:formatCode>
                <c:ptCount val="3"/>
                <c:pt idx="0">
                  <c:v>464.22222222222223</c:v>
                </c:pt>
                <c:pt idx="1">
                  <c:v>345.66666666666669</c:v>
                </c:pt>
                <c:pt idx="2">
                  <c:v>344.75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F6-437D-89D3-01ADE358B1F5}"/>
            </c:ext>
          </c:extLst>
        </c:ser>
        <c:ser>
          <c:idx val="1"/>
          <c:order val="1"/>
          <c:tx>
            <c:strRef>
              <c:f>'H2 Tank'!$X$3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'H2 Tank'!$V$4:$V$6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'H2 Tank'!$X$4:$X$6</c:f>
              <c:numCache>
                <c:formatCode>General</c:formatCode>
                <c:ptCount val="3"/>
                <c:pt idx="0">
                  <c:v>400</c:v>
                </c:pt>
                <c:pt idx="1">
                  <c:v>220</c:v>
                </c:pt>
                <c:pt idx="2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F6-437D-89D3-01ADE358B1F5}"/>
            </c:ext>
          </c:extLst>
        </c:ser>
        <c:ser>
          <c:idx val="2"/>
          <c:order val="2"/>
          <c:tx>
            <c:strRef>
              <c:f>'H2 Tank'!$Y$3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'H2 Tank'!$V$4:$V$6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'H2 Tank'!$Y$4:$Y$6</c:f>
              <c:numCache>
                <c:formatCode>General</c:formatCode>
                <c:ptCount val="3"/>
                <c:pt idx="0">
                  <c:v>550</c:v>
                </c:pt>
                <c:pt idx="1">
                  <c:v>466</c:v>
                </c:pt>
                <c:pt idx="2">
                  <c:v>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F6-437D-89D3-01ADE358B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448448"/>
        <c:axId val="367450720"/>
      </c:lineChart>
      <c:catAx>
        <c:axId val="36744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7450720"/>
        <c:crosses val="autoZero"/>
        <c:auto val="1"/>
        <c:lblAlgn val="ctr"/>
        <c:lblOffset val="100"/>
        <c:noMultiLvlLbl val="0"/>
      </c:catAx>
      <c:valAx>
        <c:axId val="36745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744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99678710949383"/>
          <c:y val="0.1568066491688539"/>
          <c:w val="0.85000012170039785"/>
          <c:h val="0.73583223972003498"/>
        </c:manualLayout>
      </c:layout>
      <c:lineChart>
        <c:grouping val="standard"/>
        <c:varyColors val="0"/>
        <c:ser>
          <c:idx val="0"/>
          <c:order val="0"/>
          <c:tx>
            <c:strRef>
              <c:f>PV!$W$3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PV!$V$4:$V$6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PV!$W$4:$W$6</c:f>
              <c:numCache>
                <c:formatCode>0</c:formatCode>
                <c:ptCount val="3"/>
                <c:pt idx="0">
                  <c:v>1079.875</c:v>
                </c:pt>
                <c:pt idx="1">
                  <c:v>587</c:v>
                </c:pt>
                <c:pt idx="2">
                  <c:v>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4F-4671-9177-C346C8FC83B8}"/>
            </c:ext>
          </c:extLst>
        </c:ser>
        <c:ser>
          <c:idx val="1"/>
          <c:order val="1"/>
          <c:tx>
            <c:strRef>
              <c:f>PV!$X$3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PV!$V$4:$V$6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PV!$X$4:$X$6</c:f>
              <c:numCache>
                <c:formatCode>General</c:formatCode>
                <c:ptCount val="3"/>
                <c:pt idx="0">
                  <c:v>677</c:v>
                </c:pt>
                <c:pt idx="1">
                  <c:v>340</c:v>
                </c:pt>
                <c:pt idx="2">
                  <c:v>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4F-4671-9177-C346C8FC83B8}"/>
            </c:ext>
          </c:extLst>
        </c:ser>
        <c:ser>
          <c:idx val="2"/>
          <c:order val="2"/>
          <c:tx>
            <c:strRef>
              <c:f>PV!$Y$3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PV!$V$4:$V$6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PV!$Y$4:$Y$6</c:f>
              <c:numCache>
                <c:formatCode>General</c:formatCode>
                <c:ptCount val="3"/>
                <c:pt idx="0">
                  <c:v>1600</c:v>
                </c:pt>
                <c:pt idx="1">
                  <c:v>834</c:v>
                </c:pt>
                <c:pt idx="2">
                  <c:v>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4F-4671-9177-C346C8FC8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448448"/>
        <c:axId val="367450720"/>
      </c:lineChart>
      <c:catAx>
        <c:axId val="36744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7450720"/>
        <c:crosses val="autoZero"/>
        <c:auto val="1"/>
        <c:lblAlgn val="ctr"/>
        <c:lblOffset val="100"/>
        <c:noMultiLvlLbl val="0"/>
      </c:catAx>
      <c:valAx>
        <c:axId val="36745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744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99678710949383"/>
          <c:y val="0.1568066491688539"/>
          <c:w val="0.85000012170039785"/>
          <c:h val="0.73583223972003498"/>
        </c:manualLayout>
      </c:layout>
      <c:lineChart>
        <c:grouping val="standard"/>
        <c:varyColors val="0"/>
        <c:ser>
          <c:idx val="0"/>
          <c:order val="0"/>
          <c:tx>
            <c:strRef>
              <c:f>'Onshore WT'!$W$3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'Onshore WT'!$V$4:$V$6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'Onshore WT'!$W$4:$W$6</c:f>
              <c:numCache>
                <c:formatCode>0</c:formatCode>
                <c:ptCount val="3"/>
                <c:pt idx="0">
                  <c:v>1509</c:v>
                </c:pt>
                <c:pt idx="1">
                  <c:v>1075</c:v>
                </c:pt>
                <c:pt idx="2">
                  <c:v>897.5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6D-478A-A79F-76A148849FF8}"/>
            </c:ext>
          </c:extLst>
        </c:ser>
        <c:ser>
          <c:idx val="1"/>
          <c:order val="1"/>
          <c:tx>
            <c:strRef>
              <c:f>'Onshore WT'!$X$3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'Onshore WT'!$V$4:$V$6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'Onshore WT'!$X$4:$X$6</c:f>
              <c:numCache>
                <c:formatCode>General</c:formatCode>
                <c:ptCount val="3"/>
                <c:pt idx="0">
                  <c:v>990</c:v>
                </c:pt>
                <c:pt idx="1">
                  <c:v>800</c:v>
                </c:pt>
                <c:pt idx="2">
                  <c:v>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6D-478A-A79F-76A148849FF8}"/>
            </c:ext>
          </c:extLst>
        </c:ser>
        <c:ser>
          <c:idx val="2"/>
          <c:order val="2"/>
          <c:tx>
            <c:strRef>
              <c:f>'Onshore WT'!$Y$3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'Onshore WT'!$V$4:$V$6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'Onshore WT'!$Y$4:$Y$6</c:f>
              <c:numCache>
                <c:formatCode>General</c:formatCode>
                <c:ptCount val="3"/>
                <c:pt idx="0">
                  <c:v>2213</c:v>
                </c:pt>
                <c:pt idx="1">
                  <c:v>1350</c:v>
                </c:pt>
                <c:pt idx="2">
                  <c:v>1120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6D-478A-A79F-76A148849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448448"/>
        <c:axId val="367450720"/>
      </c:lineChart>
      <c:catAx>
        <c:axId val="36744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7450720"/>
        <c:crosses val="autoZero"/>
        <c:auto val="1"/>
        <c:lblAlgn val="ctr"/>
        <c:lblOffset val="100"/>
        <c:noMultiLvlLbl val="0"/>
      </c:catAx>
      <c:valAx>
        <c:axId val="36745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744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plotArea>
      <cx:plotAreaRegion>
        <cx:series layoutId="boxWhisker" uniqueId="{6C9AE964-768E-B345-B095-88A57B60AAEC}">
          <cx:tx>
            <cx:txData>
              <cx:f>_xlchart.v1.0</cx:f>
              <cx:v>Today</cx:v>
            </cx:txData>
          </cx:tx>
          <cx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50F8246-04B7-D34A-A342-ADDF75984ED7}">
          <cx:tx>
            <cx:txData>
              <cx:f>_xlchart.v1.2</cx:f>
              <cx:v>year 2030</cx:v>
            </cx:txData>
          </cx:tx>
          <cx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x:spPr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3C8F71F-B8B0-EC44-8268-5E1F172B5679}">
          <cx:tx>
            <cx:txData>
              <cx:f>_xlchart.v1.4</cx:f>
              <cx:v>year 2050</cx:v>
            </cx:txData>
          </cx:tx>
          <cx:spPr>
            <a:solidFill>
              <a:srgbClr val="E2CFF1"/>
            </a:solidFill>
            <a:ln>
              <a:solidFill>
                <a:schemeClr val="tx1"/>
              </a:solidFill>
            </a:ln>
          </cx:spPr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  <cx:spPr>
    <a:ln w="15875">
      <a:solidFill>
        <a:schemeClr val="tx1"/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  <cx:data id="2">
      <cx:numDim type="val">
        <cx:f>_xlchart.v1.11</cx:f>
      </cx:numDim>
    </cx:data>
  </cx:chartData>
  <cx:chart>
    <cx:plotArea>
      <cx:plotAreaRegion>
        <cx:series layoutId="boxWhisker" uniqueId="{6C9AE964-768E-B345-B095-88A57B60AAEC}">
          <cx:tx>
            <cx:txData>
              <cx:f>_xlchart.v1.6</cx:f>
              <cx:v>Today</cx:v>
            </cx:txData>
          </cx:tx>
          <cx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50F8246-04B7-D34A-A342-ADDF75984ED7}">
          <cx:tx>
            <cx:txData>
              <cx:f>_xlchart.v1.8</cx:f>
              <cx:v>year 2030</cx:v>
            </cx:txData>
          </cx:tx>
          <cx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x:spPr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3C8F71F-B8B0-EC44-8268-5E1F172B5679}">
          <cx:tx>
            <cx:txData>
              <cx:f>_xlchart.v1.10</cx:f>
              <cx:v>year 2050</cx:v>
            </cx:txData>
          </cx:tx>
          <cx:spPr>
            <a:solidFill>
              <a:srgbClr val="E2CFF1"/>
            </a:solidFill>
            <a:ln>
              <a:solidFill>
                <a:schemeClr val="tx1"/>
              </a:solidFill>
            </a:ln>
          </cx:spPr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  <cx:spPr>
    <a:ln w="15875">
      <a:solidFill>
        <a:schemeClr val="tx1"/>
      </a:solidFill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_xlchart.v1.15</cx:f>
      </cx:numDim>
    </cx:data>
    <cx:data id="2">
      <cx:numDim type="val">
        <cx:f>_xlchart.v1.17</cx:f>
      </cx:numDim>
    </cx:data>
  </cx:chartData>
  <cx:chart>
    <cx:plotArea>
      <cx:plotAreaRegion>
        <cx:series layoutId="boxWhisker" uniqueId="{6C9AE964-768E-B345-B095-88A57B60AAEC}">
          <cx:tx>
            <cx:txData>
              <cx:f>_xlchart.v1.12</cx:f>
              <cx:v>Today</cx:v>
            </cx:txData>
          </cx:tx>
          <cx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50F8246-04B7-D34A-A342-ADDF75984ED7}">
          <cx:tx>
            <cx:txData>
              <cx:f>_xlchart.v1.14</cx:f>
              <cx:v>year 2030</cx:v>
            </cx:txData>
          </cx:tx>
          <cx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x:spPr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3C8F71F-B8B0-EC44-8268-5E1F172B5679}">
          <cx:tx>
            <cx:txData>
              <cx:f>_xlchart.v1.16</cx:f>
              <cx:v>year 2050</cx:v>
            </cx:txData>
          </cx:tx>
          <cx:spPr>
            <a:solidFill>
              <a:srgbClr val="E2CFF1"/>
            </a:solidFill>
            <a:ln>
              <a:solidFill>
                <a:schemeClr val="tx1"/>
              </a:solidFill>
            </a:ln>
          </cx:spPr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  <cx:spPr>
    <a:ln w="15875">
      <a:solidFill>
        <a:schemeClr val="tx1"/>
      </a:solidFill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  <cx:data id="1">
      <cx:numDim type="val">
        <cx:f>_xlchart.v1.21</cx:f>
      </cx:numDim>
    </cx:data>
    <cx:data id="2">
      <cx:numDim type="val">
        <cx:f>_xlchart.v1.23</cx:f>
      </cx:numDim>
    </cx:data>
  </cx:chartData>
  <cx:chart>
    <cx:plotArea>
      <cx:plotAreaRegion>
        <cx:series layoutId="boxWhisker" uniqueId="{6C9AE964-768E-B345-B095-88A57B60AAEC}">
          <cx:tx>
            <cx:txData>
              <cx:f>_xlchart.v1.18</cx:f>
              <cx:v>Today</cx:v>
            </cx:txData>
          </cx:tx>
          <cx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50F8246-04B7-D34A-A342-ADDF75984ED7}">
          <cx:tx>
            <cx:txData>
              <cx:f>_xlchart.v1.20</cx:f>
              <cx:v>year 2030</cx:v>
            </cx:txData>
          </cx:tx>
          <cx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x:spPr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3C8F71F-B8B0-EC44-8268-5E1F172B5679}">
          <cx:tx>
            <cx:txData>
              <cx:f>_xlchart.v1.22</cx:f>
              <cx:v>year 2050</cx:v>
            </cx:txData>
          </cx:tx>
          <cx:spPr>
            <a:solidFill>
              <a:srgbClr val="E2CFF1"/>
            </a:solidFill>
            <a:ln>
              <a:solidFill>
                <a:schemeClr val="tx1"/>
              </a:solidFill>
            </a:ln>
          </cx:spPr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  <cx:spPr>
    <a:ln w="15875">
      <a:solidFill>
        <a:schemeClr val="tx1"/>
      </a:solidFill>
    </a:ln>
  </cx:spPr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  <cx:data id="1">
      <cx:numDim type="val">
        <cx:f>_xlchart.v1.27</cx:f>
      </cx:numDim>
    </cx:data>
    <cx:data id="2">
      <cx:numDim type="val">
        <cx:f>_xlchart.v1.29</cx:f>
      </cx:numDim>
    </cx:data>
  </cx:chartData>
  <cx:chart>
    <cx:plotArea>
      <cx:plotAreaRegion>
        <cx:series layoutId="boxWhisker" uniqueId="{6C9AE964-768E-B345-B095-88A57B60AAEC}">
          <cx:tx>
            <cx:txData>
              <cx:f>_xlchart.v1.24</cx:f>
              <cx:v>Today</cx:v>
            </cx:txData>
          </cx:tx>
          <cx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50F8246-04B7-D34A-A342-ADDF75984ED7}">
          <cx:tx>
            <cx:txData>
              <cx:f>_xlchart.v1.26</cx:f>
              <cx:v>year 2030</cx:v>
            </cx:txData>
          </cx:tx>
          <cx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x:spPr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3C8F71F-B8B0-EC44-8268-5E1F172B5679}">
          <cx:tx>
            <cx:txData>
              <cx:f>_xlchart.v1.28</cx:f>
              <cx:v>year 2050</cx:v>
            </cx:txData>
          </cx:tx>
          <cx:spPr>
            <a:solidFill>
              <a:srgbClr val="E2CFF1"/>
            </a:solidFill>
            <a:ln>
              <a:solidFill>
                <a:schemeClr val="tx1"/>
              </a:solidFill>
            </a:ln>
          </cx:spPr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  <cx:spPr>
    <a:ln w="15875">
      <a:solidFill>
        <a:schemeClr val="tx1"/>
      </a:solidFill>
    </a:ln>
  </cx:spPr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  <cx:data id="1">
      <cx:numDim type="val">
        <cx:f>_xlchart.v1.33</cx:f>
      </cx:numDim>
    </cx:data>
    <cx:data id="2">
      <cx:numDim type="val">
        <cx:f>_xlchart.v1.35</cx:f>
      </cx:numDim>
    </cx:data>
  </cx:chartData>
  <cx:chart>
    <cx:plotArea>
      <cx:plotAreaRegion>
        <cx:series layoutId="boxWhisker" uniqueId="{6C9AE964-768E-B345-B095-88A57B60AAEC}">
          <cx:tx>
            <cx:txData>
              <cx:f>_xlchart.v1.30</cx:f>
              <cx:v>Today</cx:v>
            </cx:txData>
          </cx:tx>
          <cx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50F8246-04B7-D34A-A342-ADDF75984ED7}">
          <cx:tx>
            <cx:txData>
              <cx:f>_xlchart.v1.32</cx:f>
              <cx:v>year 2030</cx:v>
            </cx:txData>
          </cx:tx>
          <cx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x:spPr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3C8F71F-B8B0-EC44-8268-5E1F172B5679}">
          <cx:tx>
            <cx:txData>
              <cx:f>_xlchart.v1.34</cx:f>
              <cx:v>year 2050</cx:v>
            </cx:txData>
          </cx:tx>
          <cx:spPr>
            <a:solidFill>
              <a:srgbClr val="E2CFF1"/>
            </a:solidFill>
            <a:ln>
              <a:solidFill>
                <a:schemeClr val="tx1"/>
              </a:solidFill>
            </a:ln>
          </cx:spPr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  <cx:spPr>
    <a:ln w="15875">
      <a:solidFill>
        <a:schemeClr val="tx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microsoft.com/office/2014/relationships/chartEx" Target="../charts/chartEx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microsoft.com/office/2014/relationships/chartEx" Target="../charts/chartEx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181856</xdr:colOff>
      <xdr:row>19</xdr:row>
      <xdr:rowOff>189538</xdr:rowOff>
    </xdr:from>
    <xdr:to>
      <xdr:col>21</xdr:col>
      <xdr:colOff>9525</xdr:colOff>
      <xdr:row>37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CBC1E74-5954-4A3A-9A0D-E6586FB120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75536" y="3687118"/>
              <a:ext cx="4094869" cy="31194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169581</xdr:colOff>
      <xdr:row>1</xdr:row>
      <xdr:rowOff>180974</xdr:rowOff>
    </xdr:from>
    <xdr:to>
      <xdr:col>20</xdr:col>
      <xdr:colOff>581025</xdr:colOff>
      <xdr:row>19</xdr:row>
      <xdr:rowOff>126119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6B4439-D919-4949-8B71-C198030587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31</xdr:row>
      <xdr:rowOff>0</xdr:rowOff>
    </xdr:from>
    <xdr:to>
      <xdr:col>8</xdr:col>
      <xdr:colOff>213360</xdr:colOff>
      <xdr:row>36</xdr:row>
      <xdr:rowOff>91440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85C5DB7-71CA-4FDD-AEC5-3B270F2C647D}"/>
            </a:ext>
          </a:extLst>
        </xdr:cNvPr>
        <xdr:cNvSpPr txBox="1"/>
      </xdr:nvSpPr>
      <xdr:spPr>
        <a:xfrm>
          <a:off x="830580" y="5699760"/>
          <a:ext cx="5593080" cy="1005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use the results of this market analysis please cite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N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F. Superchi, A. Bianchini, A. Moustakis, and G. Pechlivanoglou, “Towards sustainable energy independence: A case study of green hydrogen as seasonal storage integration in a small island,” Renewable Energy, vol. 245, p. 122813, Jun. 2025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DOI: </a:t>
          </a:r>
          <a:r>
            <a:rPr lang="en-N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10.1016/j.renene.2025.122813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181856</xdr:colOff>
      <xdr:row>16</xdr:row>
      <xdr:rowOff>189538</xdr:rowOff>
    </xdr:from>
    <xdr:to>
      <xdr:col>21</xdr:col>
      <xdr:colOff>9525</xdr:colOff>
      <xdr:row>34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EC32283-7EB2-4BAE-A34B-FD02987FE7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20316" y="3138478"/>
              <a:ext cx="4094869" cy="31194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169581</xdr:colOff>
      <xdr:row>1</xdr:row>
      <xdr:rowOff>180974</xdr:rowOff>
    </xdr:from>
    <xdr:to>
      <xdr:col>20</xdr:col>
      <xdr:colOff>581025</xdr:colOff>
      <xdr:row>16</xdr:row>
      <xdr:rowOff>126119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422919-AE88-44FE-AB49-2D892AEE73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49</xdr:row>
      <xdr:rowOff>0</xdr:rowOff>
    </xdr:from>
    <xdr:to>
      <xdr:col>8</xdr:col>
      <xdr:colOff>266700</xdr:colOff>
      <xdr:row>54</xdr:row>
      <xdr:rowOff>91440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945D2BE-3543-4F7E-8062-44C567F1AB67}"/>
            </a:ext>
          </a:extLst>
        </xdr:cNvPr>
        <xdr:cNvSpPr txBox="1"/>
      </xdr:nvSpPr>
      <xdr:spPr>
        <a:xfrm>
          <a:off x="1028700" y="8991600"/>
          <a:ext cx="5593080" cy="1005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use the results of this market analysis please cite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N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F. Superchi, A. Bianchini, A. Moustakis, and G. Pechlivanoglou, “Towards sustainable energy independence: A case study of green hydrogen as seasonal storage integration in a small island,” Renewable Energy, vol. 245, p. 122813, Jun. 2025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DOI: </a:t>
          </a:r>
          <a:r>
            <a:rPr lang="en-N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10.1016/j.renene.2025.122813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181856</xdr:colOff>
      <xdr:row>16</xdr:row>
      <xdr:rowOff>189538</xdr:rowOff>
    </xdr:from>
    <xdr:to>
      <xdr:col>21</xdr:col>
      <xdr:colOff>9525</xdr:colOff>
      <xdr:row>34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14EBF9F-D38C-4E8C-AD9F-1FD8EA8828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60296" y="3138478"/>
              <a:ext cx="4094869" cy="31194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169581</xdr:colOff>
      <xdr:row>1</xdr:row>
      <xdr:rowOff>180974</xdr:rowOff>
    </xdr:from>
    <xdr:to>
      <xdr:col>20</xdr:col>
      <xdr:colOff>581025</xdr:colOff>
      <xdr:row>16</xdr:row>
      <xdr:rowOff>126119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FE5D08-02F8-488B-8457-FD26D21033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22</xdr:row>
      <xdr:rowOff>0</xdr:rowOff>
    </xdr:from>
    <xdr:to>
      <xdr:col>8</xdr:col>
      <xdr:colOff>228600</xdr:colOff>
      <xdr:row>27</xdr:row>
      <xdr:rowOff>91440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106DD00-474D-47B7-B9F5-5142964E3E4E}"/>
            </a:ext>
          </a:extLst>
        </xdr:cNvPr>
        <xdr:cNvSpPr txBox="1"/>
      </xdr:nvSpPr>
      <xdr:spPr>
        <a:xfrm>
          <a:off x="830580" y="4053840"/>
          <a:ext cx="5593080" cy="1005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use the results of this market analysis please cite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N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F. Superchi, A. Bianchini, A. Moustakis, and G. Pechlivanoglou, “Towards sustainable energy independence: A case study of green hydrogen as seasonal storage integration in a small island,” Renewable Energy, vol. 245, p. 122813, Jun. 2025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DOI: </a:t>
          </a:r>
          <a:r>
            <a:rPr lang="en-N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10.1016/j.renene.2025.122813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181856</xdr:colOff>
      <xdr:row>16</xdr:row>
      <xdr:rowOff>189538</xdr:rowOff>
    </xdr:from>
    <xdr:to>
      <xdr:col>21</xdr:col>
      <xdr:colOff>9525</xdr:colOff>
      <xdr:row>34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EE21AFF-7E80-4D5A-BE59-256D0D0468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6496" y="3138478"/>
              <a:ext cx="4094869" cy="31194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169581</xdr:colOff>
      <xdr:row>1</xdr:row>
      <xdr:rowOff>180974</xdr:rowOff>
    </xdr:from>
    <xdr:to>
      <xdr:col>20</xdr:col>
      <xdr:colOff>581025</xdr:colOff>
      <xdr:row>16</xdr:row>
      <xdr:rowOff>126119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385F5A-7584-44D3-ADB5-9EB788892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8</xdr:col>
      <xdr:colOff>350520</xdr:colOff>
      <xdr:row>39</xdr:row>
      <xdr:rowOff>91440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F98F341-28CD-4FAC-9116-767F3EA4CBE7}"/>
            </a:ext>
          </a:extLst>
        </xdr:cNvPr>
        <xdr:cNvSpPr txBox="1"/>
      </xdr:nvSpPr>
      <xdr:spPr>
        <a:xfrm>
          <a:off x="1028700" y="6248400"/>
          <a:ext cx="5593080" cy="1005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use the results of this market analysis please cite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N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F. Superchi, A. Bianchini, A. Moustakis, and G. Pechlivanoglou, “Towards sustainable energy independence: A case study of green hydrogen as seasonal storage integration in a small island,” Renewable Energy, vol. 245, p. 122813, Jun. 2025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DOI: </a:t>
          </a:r>
          <a:r>
            <a:rPr lang="en-N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10.1016/j.renene.2025.122813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181856</xdr:colOff>
      <xdr:row>16</xdr:row>
      <xdr:rowOff>189538</xdr:rowOff>
    </xdr:from>
    <xdr:to>
      <xdr:col>21</xdr:col>
      <xdr:colOff>9525</xdr:colOff>
      <xdr:row>34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46AC931-30BB-4E88-80CB-DB4B53DC3C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37436" y="3138478"/>
              <a:ext cx="4094869" cy="31194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169581</xdr:colOff>
      <xdr:row>1</xdr:row>
      <xdr:rowOff>180974</xdr:rowOff>
    </xdr:from>
    <xdr:to>
      <xdr:col>20</xdr:col>
      <xdr:colOff>581025</xdr:colOff>
      <xdr:row>16</xdr:row>
      <xdr:rowOff>126119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FE3359-D2EE-43BE-A3F7-7E49B8E951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426720</xdr:colOff>
      <xdr:row>22</xdr:row>
      <xdr:rowOff>99060</xdr:rowOff>
    </xdr:from>
    <xdr:to>
      <xdr:col>7</xdr:col>
      <xdr:colOff>457200</xdr:colOff>
      <xdr:row>28</xdr:row>
      <xdr:rowOff>7620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706F3D4-026A-6D12-9C44-B8AD814CA7E0}"/>
            </a:ext>
          </a:extLst>
        </xdr:cNvPr>
        <xdr:cNvSpPr txBox="1"/>
      </xdr:nvSpPr>
      <xdr:spPr>
        <a:xfrm>
          <a:off x="426720" y="4152900"/>
          <a:ext cx="5593080" cy="1005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use the results of this market analysis please cite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N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F. Superchi, A. Bianchini, A. Moustakis, and G. Pechlivanoglou, “Towards sustainable energy independence: A case study of green hydrogen as seasonal storage integration in a small island,” Renewable Energy, vol. 245, p. 122813, Jun. 2025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DOI: </a:t>
          </a:r>
          <a:r>
            <a:rPr lang="en-N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10.1016/j.renene.2025.122813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181856</xdr:colOff>
      <xdr:row>16</xdr:row>
      <xdr:rowOff>189538</xdr:rowOff>
    </xdr:from>
    <xdr:to>
      <xdr:col>21</xdr:col>
      <xdr:colOff>9525</xdr:colOff>
      <xdr:row>34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978518B-B9D1-4D75-8FC8-3ED417D324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98396" y="3138478"/>
              <a:ext cx="4094869" cy="31194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169581</xdr:colOff>
      <xdr:row>1</xdr:row>
      <xdr:rowOff>180974</xdr:rowOff>
    </xdr:from>
    <xdr:to>
      <xdr:col>20</xdr:col>
      <xdr:colOff>581025</xdr:colOff>
      <xdr:row>16</xdr:row>
      <xdr:rowOff>126119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82941F-68C0-4ED0-8078-AA2D550CA3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8</xdr:col>
      <xdr:colOff>190500</xdr:colOff>
      <xdr:row>25</xdr:row>
      <xdr:rowOff>91440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3EC36FF-EF82-493D-AF73-DC85AC3B484C}"/>
            </a:ext>
          </a:extLst>
        </xdr:cNvPr>
        <xdr:cNvSpPr txBox="1"/>
      </xdr:nvSpPr>
      <xdr:spPr>
        <a:xfrm>
          <a:off x="830580" y="3688080"/>
          <a:ext cx="5593080" cy="1005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use the results of this market analysis please cite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N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F. Superchi, A. Bianchini, A. Moustakis, and G. Pechlivanoglou, “Towards sustainable energy independence: A case study of green hydrogen as seasonal storage integration in a small island,” Renewable Energy, vol. 245, p. 122813, Jun. 2025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DOI: </a:t>
          </a:r>
          <a:r>
            <a:rPr lang="en-N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10.1016/j.renene.2025.122813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37F54-9173-4F04-BCA0-08603D08BE5F}">
  <dimension ref="A1:AD137"/>
  <sheetViews>
    <sheetView tabSelected="1" topLeftCell="A6" zoomScaleNormal="100" workbookViewId="0">
      <selection activeCell="F40" sqref="F40"/>
    </sheetView>
  </sheetViews>
  <sheetFormatPr defaultColWidth="8.88671875" defaultRowHeight="14.4" x14ac:dyDescent="0.3"/>
  <cols>
    <col min="1" max="1" width="12.109375" customWidth="1"/>
    <col min="2" max="2" width="6.109375" customWidth="1"/>
    <col min="3" max="3" width="23.6640625" customWidth="1"/>
    <col min="6" max="6" width="13.109375" style="3" customWidth="1"/>
    <col min="7" max="7" width="8.88671875" style="2"/>
    <col min="9" max="9" width="8.88671875" style="1"/>
    <col min="10" max="10" width="13.109375" style="2" customWidth="1"/>
    <col min="11" max="12" width="8.88671875" style="1"/>
    <col min="13" max="13" width="10.109375" customWidth="1"/>
    <col min="14" max="14" width="11.109375" style="2" customWidth="1"/>
    <col min="28" max="28" width="8.88671875" style="1"/>
    <col min="29" max="29" width="9.44140625" customWidth="1"/>
    <col min="30" max="30" width="9.5546875" style="2" customWidth="1"/>
  </cols>
  <sheetData>
    <row r="1" spans="1:30" s="4" customFormat="1" x14ac:dyDescent="0.3">
      <c r="A1" s="4" t="s">
        <v>10</v>
      </c>
      <c r="B1" s="4" t="s">
        <v>11</v>
      </c>
      <c r="C1" s="4" t="s">
        <v>12</v>
      </c>
      <c r="D1" s="4" t="s">
        <v>0</v>
      </c>
      <c r="E1" s="4" t="s">
        <v>1</v>
      </c>
      <c r="F1" s="5" t="s">
        <v>2</v>
      </c>
      <c r="G1" s="6" t="s">
        <v>3</v>
      </c>
      <c r="I1" s="7" t="s">
        <v>182</v>
      </c>
      <c r="J1" s="4" t="s">
        <v>2</v>
      </c>
      <c r="K1" s="7"/>
      <c r="L1" s="11" t="s">
        <v>39</v>
      </c>
      <c r="M1" s="12" t="s">
        <v>43</v>
      </c>
      <c r="N1" s="26" t="s">
        <v>44</v>
      </c>
      <c r="AB1" s="8" t="s">
        <v>39</v>
      </c>
      <c r="AC1" s="9" t="s">
        <v>43</v>
      </c>
      <c r="AD1" s="10" t="s">
        <v>44</v>
      </c>
    </row>
    <row r="2" spans="1:30" ht="15" thickBot="1" x14ac:dyDescent="0.35">
      <c r="A2" t="s">
        <v>13</v>
      </c>
      <c r="B2" t="s">
        <v>14</v>
      </c>
      <c r="C2" t="s">
        <v>15</v>
      </c>
      <c r="D2" t="s">
        <v>4</v>
      </c>
      <c r="F2" s="3">
        <v>145</v>
      </c>
      <c r="G2" s="2">
        <v>2030</v>
      </c>
      <c r="I2" s="1" t="s">
        <v>183</v>
      </c>
      <c r="J2" s="2">
        <f>IF(I2="yes",F2,"")</f>
        <v>145</v>
      </c>
      <c r="L2" s="1" t="str">
        <f>IF(G2&lt;2025,J2,"")</f>
        <v/>
      </c>
      <c r="M2">
        <f>IF(G2=2030,J2,"")</f>
        <v>145</v>
      </c>
      <c r="N2" s="2" t="str">
        <f>IF(G2&gt;2039,J2,"")</f>
        <v/>
      </c>
      <c r="AB2" s="1" t="e">
        <f t="shared" ref="AB2:AB36" si="0">IF(L2="",NA(),L2)</f>
        <v>#N/A</v>
      </c>
      <c r="AC2">
        <f t="shared" ref="AC2:AC36" si="1">IF(M2="",NA(),M2)</f>
        <v>145</v>
      </c>
      <c r="AD2" s="2" t="e">
        <f t="shared" ref="AD2:AD36" si="2">IF(N2="",NA(),N2)</f>
        <v>#N/A</v>
      </c>
    </row>
    <row r="3" spans="1:30" ht="15.6" x14ac:dyDescent="0.3">
      <c r="C3" t="s">
        <v>16</v>
      </c>
      <c r="D3" t="s">
        <v>5</v>
      </c>
      <c r="F3" s="3">
        <v>167</v>
      </c>
      <c r="G3" s="2">
        <v>2030</v>
      </c>
      <c r="I3" s="1" t="s">
        <v>183</v>
      </c>
      <c r="J3" s="2">
        <f t="shared" ref="J3:J28" si="3">IF(I3="yes",F3,"")</f>
        <v>167</v>
      </c>
      <c r="L3" s="1" t="str">
        <f t="shared" ref="L3:L28" si="4">IF(G3&lt;2025,J3,"")</f>
        <v/>
      </c>
      <c r="M3">
        <f t="shared" ref="M3:M26" si="5">IF(G3=2030,J3,"")</f>
        <v>167</v>
      </c>
      <c r="N3" s="2" t="str">
        <f t="shared" ref="N3:N69" si="6">IF(G3&gt;2039,J3,"")</f>
        <v/>
      </c>
      <c r="V3" s="15" t="s">
        <v>188</v>
      </c>
      <c r="W3" s="16" t="s">
        <v>40</v>
      </c>
      <c r="X3" s="17" t="s">
        <v>42</v>
      </c>
      <c r="Y3" s="18" t="s">
        <v>41</v>
      </c>
      <c r="AB3" s="1" t="e">
        <f t="shared" si="0"/>
        <v>#N/A</v>
      </c>
      <c r="AC3">
        <f t="shared" si="1"/>
        <v>167</v>
      </c>
      <c r="AD3" s="2" t="e">
        <f t="shared" si="2"/>
        <v>#N/A</v>
      </c>
    </row>
    <row r="4" spans="1:30" x14ac:dyDescent="0.3">
      <c r="C4" t="s">
        <v>17</v>
      </c>
      <c r="D4" t="s">
        <v>6</v>
      </c>
      <c r="F4" s="3">
        <v>224</v>
      </c>
      <c r="G4" s="2">
        <v>2030</v>
      </c>
      <c r="I4" s="1" t="s">
        <v>183</v>
      </c>
      <c r="J4" s="2">
        <f t="shared" si="3"/>
        <v>224</v>
      </c>
      <c r="L4" s="1" t="str">
        <f t="shared" si="4"/>
        <v/>
      </c>
      <c r="M4">
        <f t="shared" si="5"/>
        <v>224</v>
      </c>
      <c r="N4" s="2" t="str">
        <f t="shared" si="6"/>
        <v/>
      </c>
      <c r="V4" s="19">
        <v>2020</v>
      </c>
      <c r="W4" s="14">
        <f>AVERAGE(L:L)</f>
        <v>297.5</v>
      </c>
      <c r="X4" s="13">
        <f>MIN(L:L)</f>
        <v>100</v>
      </c>
      <c r="Y4" s="20">
        <f>MAX(L:L)</f>
        <v>537</v>
      </c>
      <c r="AB4" s="1" t="e">
        <f t="shared" si="0"/>
        <v>#N/A</v>
      </c>
      <c r="AC4">
        <f t="shared" si="1"/>
        <v>224</v>
      </c>
      <c r="AD4" s="2" t="e">
        <f t="shared" si="2"/>
        <v>#N/A</v>
      </c>
    </row>
    <row r="5" spans="1:30" x14ac:dyDescent="0.3">
      <c r="A5" t="s">
        <v>18</v>
      </c>
      <c r="B5" t="s">
        <v>19</v>
      </c>
      <c r="C5" t="s">
        <v>20</v>
      </c>
      <c r="E5" t="s">
        <v>7</v>
      </c>
      <c r="F5" s="3">
        <v>143</v>
      </c>
      <c r="G5" s="2">
        <v>2030</v>
      </c>
      <c r="I5" s="1" t="s">
        <v>183</v>
      </c>
      <c r="J5" s="2">
        <f t="shared" si="3"/>
        <v>143</v>
      </c>
      <c r="L5" s="1" t="str">
        <f t="shared" si="4"/>
        <v/>
      </c>
      <c r="M5">
        <f t="shared" si="5"/>
        <v>143</v>
      </c>
      <c r="N5" s="2" t="str">
        <f t="shared" si="6"/>
        <v/>
      </c>
      <c r="V5" s="21">
        <v>2030</v>
      </c>
      <c r="W5" s="14">
        <f>AVERAGE(M:M)</f>
        <v>189.75</v>
      </c>
      <c r="X5" s="13">
        <f>MIN(M:M)</f>
        <v>84</v>
      </c>
      <c r="Y5" s="20">
        <f>MAX(M:M)</f>
        <v>526</v>
      </c>
      <c r="AB5" s="1" t="e">
        <f t="shared" si="0"/>
        <v>#N/A</v>
      </c>
      <c r="AC5">
        <f t="shared" si="1"/>
        <v>143</v>
      </c>
      <c r="AD5" s="2" t="e">
        <f t="shared" si="2"/>
        <v>#N/A</v>
      </c>
    </row>
    <row r="6" spans="1:30" ht="15" thickBot="1" x14ac:dyDescent="0.35">
      <c r="E6" t="s">
        <v>8</v>
      </c>
      <c r="F6" s="3">
        <v>248</v>
      </c>
      <c r="G6" s="2">
        <v>2030</v>
      </c>
      <c r="I6" s="1" t="s">
        <v>183</v>
      </c>
      <c r="J6" s="2">
        <f t="shared" si="3"/>
        <v>248</v>
      </c>
      <c r="L6" s="1" t="str">
        <f t="shared" si="4"/>
        <v/>
      </c>
      <c r="M6">
        <f t="shared" si="5"/>
        <v>248</v>
      </c>
      <c r="N6" s="2" t="str">
        <f t="shared" si="6"/>
        <v/>
      </c>
      <c r="V6" s="22">
        <v>2050</v>
      </c>
      <c r="W6" s="23">
        <f>AVERAGE(N:N)</f>
        <v>167.5</v>
      </c>
      <c r="X6" s="24">
        <f>MIN(N:N)</f>
        <v>87</v>
      </c>
      <c r="Y6" s="25">
        <f>MAX(N:N)</f>
        <v>248</v>
      </c>
      <c r="AB6" s="1" t="e">
        <f t="shared" si="0"/>
        <v>#N/A</v>
      </c>
      <c r="AC6">
        <f t="shared" si="1"/>
        <v>248</v>
      </c>
      <c r="AD6" s="2" t="e">
        <f t="shared" si="2"/>
        <v>#N/A</v>
      </c>
    </row>
    <row r="7" spans="1:30" x14ac:dyDescent="0.3">
      <c r="C7" t="s">
        <v>21</v>
      </c>
      <c r="E7" t="s">
        <v>7</v>
      </c>
      <c r="F7" s="3">
        <v>87</v>
      </c>
      <c r="G7" s="2">
        <v>2050</v>
      </c>
      <c r="I7" s="1" t="s">
        <v>183</v>
      </c>
      <c r="J7" s="2">
        <f t="shared" si="3"/>
        <v>87</v>
      </c>
      <c r="L7" s="1" t="str">
        <f t="shared" si="4"/>
        <v/>
      </c>
      <c r="M7" t="str">
        <f t="shared" si="5"/>
        <v/>
      </c>
      <c r="N7" s="2">
        <f t="shared" si="6"/>
        <v>87</v>
      </c>
      <c r="AB7" s="1" t="e">
        <f t="shared" si="0"/>
        <v>#N/A</v>
      </c>
      <c r="AC7" t="e">
        <f t="shared" si="1"/>
        <v>#N/A</v>
      </c>
      <c r="AD7" s="2">
        <f t="shared" si="2"/>
        <v>87</v>
      </c>
    </row>
    <row r="8" spans="1:30" x14ac:dyDescent="0.3">
      <c r="E8" t="s">
        <v>8</v>
      </c>
      <c r="F8" s="3">
        <v>248</v>
      </c>
      <c r="G8" s="2">
        <v>2050</v>
      </c>
      <c r="I8" s="1" t="s">
        <v>183</v>
      </c>
      <c r="J8" s="2">
        <f t="shared" si="3"/>
        <v>248</v>
      </c>
      <c r="L8" s="1" t="str">
        <f t="shared" si="4"/>
        <v/>
      </c>
      <c r="M8" t="str">
        <f t="shared" si="5"/>
        <v/>
      </c>
      <c r="N8" s="2">
        <f t="shared" si="6"/>
        <v>248</v>
      </c>
      <c r="AB8" s="1" t="e">
        <f t="shared" si="0"/>
        <v>#N/A</v>
      </c>
      <c r="AC8" t="e">
        <f t="shared" si="1"/>
        <v>#N/A</v>
      </c>
      <c r="AD8" s="2">
        <f t="shared" si="2"/>
        <v>248</v>
      </c>
    </row>
    <row r="9" spans="1:30" x14ac:dyDescent="0.3">
      <c r="A9" t="s">
        <v>22</v>
      </c>
      <c r="B9" t="s">
        <v>23</v>
      </c>
      <c r="C9" t="s">
        <v>24</v>
      </c>
      <c r="F9" s="3">
        <v>234</v>
      </c>
      <c r="G9" s="2">
        <v>2020</v>
      </c>
      <c r="I9" s="1" t="s">
        <v>183</v>
      </c>
      <c r="J9" s="2">
        <f t="shared" si="3"/>
        <v>234</v>
      </c>
      <c r="L9" s="1">
        <f t="shared" si="4"/>
        <v>234</v>
      </c>
      <c r="M9" t="str">
        <f t="shared" si="5"/>
        <v/>
      </c>
      <c r="N9" s="2" t="str">
        <f t="shared" si="6"/>
        <v/>
      </c>
      <c r="AB9" s="1">
        <f t="shared" si="0"/>
        <v>234</v>
      </c>
      <c r="AC9" t="e">
        <f t="shared" si="1"/>
        <v>#N/A</v>
      </c>
      <c r="AD9" s="2" t="e">
        <f t="shared" si="2"/>
        <v>#N/A</v>
      </c>
    </row>
    <row r="10" spans="1:30" x14ac:dyDescent="0.3">
      <c r="C10" t="s">
        <v>25</v>
      </c>
      <c r="F10" s="3">
        <v>123</v>
      </c>
      <c r="G10" s="2">
        <v>2030</v>
      </c>
      <c r="I10" s="1" t="s">
        <v>183</v>
      </c>
      <c r="J10" s="2">
        <f t="shared" si="3"/>
        <v>123</v>
      </c>
      <c r="L10" s="1" t="str">
        <f t="shared" si="4"/>
        <v/>
      </c>
      <c r="M10">
        <f t="shared" si="5"/>
        <v>123</v>
      </c>
      <c r="N10" s="2" t="str">
        <f t="shared" si="6"/>
        <v/>
      </c>
      <c r="AB10" s="1" t="e">
        <f t="shared" si="0"/>
        <v>#N/A</v>
      </c>
      <c r="AC10">
        <f t="shared" si="1"/>
        <v>123</v>
      </c>
      <c r="AD10" s="2" t="e">
        <f t="shared" si="2"/>
        <v>#N/A</v>
      </c>
    </row>
    <row r="11" spans="1:30" x14ac:dyDescent="0.3">
      <c r="C11" t="s">
        <v>26</v>
      </c>
      <c r="D11" t="s">
        <v>4</v>
      </c>
      <c r="E11" t="s">
        <v>9</v>
      </c>
      <c r="F11" s="3">
        <v>145</v>
      </c>
      <c r="G11" s="2">
        <v>2030</v>
      </c>
      <c r="I11" s="1" t="s">
        <v>183</v>
      </c>
      <c r="J11" s="2">
        <f t="shared" si="3"/>
        <v>145</v>
      </c>
      <c r="L11" s="1" t="str">
        <f t="shared" si="4"/>
        <v/>
      </c>
      <c r="M11">
        <f t="shared" si="5"/>
        <v>145</v>
      </c>
      <c r="N11" s="2" t="str">
        <f t="shared" si="6"/>
        <v/>
      </c>
      <c r="AB11" s="1" t="e">
        <f t="shared" si="0"/>
        <v>#N/A</v>
      </c>
      <c r="AC11">
        <f t="shared" si="1"/>
        <v>145</v>
      </c>
      <c r="AD11" s="2" t="e">
        <f t="shared" si="2"/>
        <v>#N/A</v>
      </c>
    </row>
    <row r="12" spans="1:30" x14ac:dyDescent="0.3">
      <c r="D12" t="s">
        <v>4</v>
      </c>
      <c r="E12" t="s">
        <v>7</v>
      </c>
      <c r="F12" s="3">
        <v>84</v>
      </c>
      <c r="G12" s="2">
        <v>2030</v>
      </c>
      <c r="I12" s="1" t="s">
        <v>183</v>
      </c>
      <c r="J12" s="2">
        <f t="shared" si="3"/>
        <v>84</v>
      </c>
      <c r="L12" s="1" t="str">
        <f t="shared" si="4"/>
        <v/>
      </c>
      <c r="M12">
        <f t="shared" si="5"/>
        <v>84</v>
      </c>
      <c r="N12" s="2" t="str">
        <f t="shared" si="6"/>
        <v/>
      </c>
      <c r="AB12" s="1" t="e">
        <f t="shared" si="0"/>
        <v>#N/A</v>
      </c>
      <c r="AC12">
        <f t="shared" si="1"/>
        <v>84</v>
      </c>
      <c r="AD12" s="2" t="e">
        <f t="shared" si="2"/>
        <v>#N/A</v>
      </c>
    </row>
    <row r="13" spans="1:30" x14ac:dyDescent="0.3">
      <c r="D13" t="s">
        <v>4</v>
      </c>
      <c r="E13" t="s">
        <v>8</v>
      </c>
      <c r="F13" s="3">
        <v>318</v>
      </c>
      <c r="G13" s="2">
        <v>2030</v>
      </c>
      <c r="I13" s="1" t="s">
        <v>183</v>
      </c>
      <c r="J13" s="2">
        <f t="shared" si="3"/>
        <v>318</v>
      </c>
      <c r="L13" s="1" t="str">
        <f t="shared" si="4"/>
        <v/>
      </c>
      <c r="M13">
        <f t="shared" si="5"/>
        <v>318</v>
      </c>
      <c r="N13" s="2" t="str">
        <f t="shared" si="6"/>
        <v/>
      </c>
      <c r="AB13" s="1" t="e">
        <f t="shared" si="0"/>
        <v>#N/A</v>
      </c>
      <c r="AC13">
        <f t="shared" si="1"/>
        <v>318</v>
      </c>
      <c r="AD13" s="2" t="e">
        <f t="shared" si="2"/>
        <v>#N/A</v>
      </c>
    </row>
    <row r="14" spans="1:30" x14ac:dyDescent="0.3">
      <c r="C14" t="s">
        <v>27</v>
      </c>
      <c r="D14" t="s">
        <v>6</v>
      </c>
      <c r="E14" t="s">
        <v>9</v>
      </c>
      <c r="F14" s="3">
        <v>222</v>
      </c>
      <c r="G14" s="2">
        <v>2030</v>
      </c>
      <c r="I14" s="1" t="s">
        <v>183</v>
      </c>
      <c r="J14" s="2">
        <f t="shared" si="3"/>
        <v>222</v>
      </c>
      <c r="L14" s="1" t="str">
        <f t="shared" si="4"/>
        <v/>
      </c>
      <c r="M14">
        <f t="shared" si="5"/>
        <v>222</v>
      </c>
      <c r="N14" s="2" t="str">
        <f t="shared" si="6"/>
        <v/>
      </c>
      <c r="AB14" s="1" t="e">
        <f t="shared" si="0"/>
        <v>#N/A</v>
      </c>
      <c r="AC14">
        <f t="shared" si="1"/>
        <v>222</v>
      </c>
      <c r="AD14" s="2" t="e">
        <f t="shared" si="2"/>
        <v>#N/A</v>
      </c>
    </row>
    <row r="15" spans="1:30" x14ac:dyDescent="0.3">
      <c r="D15" t="s">
        <v>6</v>
      </c>
      <c r="E15" t="s">
        <v>7</v>
      </c>
      <c r="F15" s="3">
        <v>107</v>
      </c>
      <c r="G15" s="2">
        <v>2030</v>
      </c>
      <c r="I15" s="1" t="s">
        <v>183</v>
      </c>
      <c r="J15" s="2">
        <f t="shared" si="3"/>
        <v>107</v>
      </c>
      <c r="L15" s="1" t="str">
        <f t="shared" si="4"/>
        <v/>
      </c>
      <c r="M15">
        <f t="shared" si="5"/>
        <v>107</v>
      </c>
      <c r="N15" s="2" t="str">
        <f t="shared" si="6"/>
        <v/>
      </c>
      <c r="AB15" s="1" t="e">
        <f t="shared" si="0"/>
        <v>#N/A</v>
      </c>
      <c r="AC15">
        <f t="shared" si="1"/>
        <v>107</v>
      </c>
      <c r="AD15" s="2" t="e">
        <f t="shared" si="2"/>
        <v>#N/A</v>
      </c>
    </row>
    <row r="16" spans="1:30" x14ac:dyDescent="0.3">
      <c r="D16" t="s">
        <v>6</v>
      </c>
      <c r="E16" t="s">
        <v>8</v>
      </c>
      <c r="F16" s="3">
        <v>526</v>
      </c>
      <c r="G16" s="2">
        <v>2030</v>
      </c>
      <c r="I16" s="1" t="s">
        <v>183</v>
      </c>
      <c r="J16" s="2">
        <f t="shared" si="3"/>
        <v>526</v>
      </c>
      <c r="L16" s="1" t="str">
        <f t="shared" si="4"/>
        <v/>
      </c>
      <c r="M16">
        <f t="shared" si="5"/>
        <v>526</v>
      </c>
      <c r="N16" s="2" t="str">
        <f t="shared" si="6"/>
        <v/>
      </c>
      <c r="AB16" s="1" t="e">
        <f t="shared" si="0"/>
        <v>#N/A</v>
      </c>
      <c r="AC16">
        <f t="shared" si="1"/>
        <v>526</v>
      </c>
      <c r="AD16" s="2" t="e">
        <f t="shared" si="2"/>
        <v>#N/A</v>
      </c>
    </row>
    <row r="17" spans="1:30" x14ac:dyDescent="0.3">
      <c r="D17" t="s">
        <v>6</v>
      </c>
      <c r="E17" t="s">
        <v>9</v>
      </c>
      <c r="F17" s="3">
        <v>222</v>
      </c>
      <c r="G17" s="2">
        <v>2020</v>
      </c>
      <c r="I17" s="1" t="s">
        <v>183</v>
      </c>
      <c r="J17" s="2">
        <f t="shared" si="3"/>
        <v>222</v>
      </c>
      <c r="L17" s="1">
        <f t="shared" si="4"/>
        <v>222</v>
      </c>
      <c r="M17" t="str">
        <f t="shared" si="5"/>
        <v/>
      </c>
    </row>
    <row r="18" spans="1:30" x14ac:dyDescent="0.3">
      <c r="D18" t="s">
        <v>6</v>
      </c>
      <c r="E18" t="s">
        <v>7</v>
      </c>
      <c r="F18" s="3">
        <v>107</v>
      </c>
      <c r="G18" s="2">
        <v>2020</v>
      </c>
      <c r="I18" s="1" t="s">
        <v>183</v>
      </c>
      <c r="J18" s="2">
        <f t="shared" si="3"/>
        <v>107</v>
      </c>
      <c r="L18" s="1">
        <f t="shared" si="4"/>
        <v>107</v>
      </c>
      <c r="M18" t="str">
        <f t="shared" si="5"/>
        <v/>
      </c>
    </row>
    <row r="19" spans="1:30" x14ac:dyDescent="0.3">
      <c r="D19" t="s">
        <v>6</v>
      </c>
      <c r="E19" t="s">
        <v>8</v>
      </c>
      <c r="F19" s="3">
        <v>526</v>
      </c>
      <c r="G19" s="2">
        <v>2020</v>
      </c>
      <c r="I19" s="1" t="s">
        <v>183</v>
      </c>
      <c r="J19" s="2">
        <f t="shared" si="3"/>
        <v>526</v>
      </c>
      <c r="L19" s="1">
        <f t="shared" si="4"/>
        <v>526</v>
      </c>
      <c r="M19" t="str">
        <f t="shared" si="5"/>
        <v/>
      </c>
    </row>
    <row r="20" spans="1:30" x14ac:dyDescent="0.3">
      <c r="C20" t="s">
        <v>28</v>
      </c>
      <c r="F20" s="3">
        <v>71</v>
      </c>
      <c r="G20" s="2">
        <v>2050</v>
      </c>
      <c r="I20" s="1" t="s">
        <v>184</v>
      </c>
      <c r="J20" s="2" t="str">
        <f t="shared" si="3"/>
        <v/>
      </c>
      <c r="L20" s="1" t="str">
        <f t="shared" si="4"/>
        <v/>
      </c>
      <c r="M20" t="str">
        <f t="shared" si="5"/>
        <v/>
      </c>
      <c r="N20" s="2" t="str">
        <f t="shared" si="6"/>
        <v/>
      </c>
      <c r="AB20" s="1" t="e">
        <f t="shared" si="0"/>
        <v>#N/A</v>
      </c>
      <c r="AC20" t="e">
        <f t="shared" si="1"/>
        <v>#N/A</v>
      </c>
      <c r="AD20" s="2" t="e">
        <f t="shared" si="2"/>
        <v>#N/A</v>
      </c>
    </row>
    <row r="21" spans="1:30" x14ac:dyDescent="0.3">
      <c r="A21" t="s">
        <v>29</v>
      </c>
      <c r="B21" t="s">
        <v>30</v>
      </c>
      <c r="C21" t="s">
        <v>31</v>
      </c>
      <c r="F21" s="3">
        <v>100</v>
      </c>
      <c r="G21" s="2">
        <v>2024</v>
      </c>
      <c r="I21" s="1" t="s">
        <v>183</v>
      </c>
      <c r="J21" s="2">
        <f t="shared" si="3"/>
        <v>100</v>
      </c>
      <c r="L21" s="1">
        <f t="shared" si="4"/>
        <v>100</v>
      </c>
      <c r="M21" t="str">
        <f t="shared" si="5"/>
        <v/>
      </c>
      <c r="N21" s="2" t="str">
        <f t="shared" si="6"/>
        <v/>
      </c>
      <c r="AB21" s="1">
        <f t="shared" si="0"/>
        <v>100</v>
      </c>
      <c r="AC21" t="e">
        <f t="shared" si="1"/>
        <v>#N/A</v>
      </c>
      <c r="AD21" s="2" t="e">
        <f t="shared" si="2"/>
        <v>#N/A</v>
      </c>
    </row>
    <row r="22" spans="1:30" x14ac:dyDescent="0.3">
      <c r="A22" t="s">
        <v>32</v>
      </c>
      <c r="B22" t="s">
        <v>33</v>
      </c>
      <c r="C22" t="s">
        <v>34</v>
      </c>
      <c r="F22" s="3">
        <v>316</v>
      </c>
      <c r="G22" s="2">
        <v>2017</v>
      </c>
      <c r="I22" s="1" t="s">
        <v>183</v>
      </c>
      <c r="J22" s="2">
        <f t="shared" si="3"/>
        <v>316</v>
      </c>
      <c r="L22" s="1">
        <f t="shared" si="4"/>
        <v>316</v>
      </c>
      <c r="M22" t="str">
        <f t="shared" si="5"/>
        <v/>
      </c>
      <c r="N22" s="2" t="str">
        <f t="shared" si="6"/>
        <v/>
      </c>
      <c r="AB22" s="1">
        <f t="shared" si="0"/>
        <v>316</v>
      </c>
      <c r="AC22" t="e">
        <f t="shared" si="1"/>
        <v>#N/A</v>
      </c>
      <c r="AD22" s="2" t="e">
        <f t="shared" si="2"/>
        <v>#N/A</v>
      </c>
    </row>
    <row r="23" spans="1:30" x14ac:dyDescent="0.3">
      <c r="C23" t="s">
        <v>35</v>
      </c>
      <c r="E23" t="s">
        <v>7</v>
      </c>
      <c r="F23" s="3">
        <v>110</v>
      </c>
      <c r="G23" s="2">
        <v>2030</v>
      </c>
      <c r="I23" s="1" t="s">
        <v>183</v>
      </c>
      <c r="J23" s="2">
        <f t="shared" si="3"/>
        <v>110</v>
      </c>
      <c r="L23" s="1" t="str">
        <f t="shared" si="4"/>
        <v/>
      </c>
      <c r="M23">
        <f t="shared" si="5"/>
        <v>110</v>
      </c>
      <c r="N23" s="2" t="str">
        <f t="shared" si="6"/>
        <v/>
      </c>
      <c r="AB23" s="1" t="e">
        <f t="shared" si="0"/>
        <v>#N/A</v>
      </c>
      <c r="AC23">
        <f t="shared" si="1"/>
        <v>110</v>
      </c>
      <c r="AD23" s="2" t="e">
        <f t="shared" si="2"/>
        <v>#N/A</v>
      </c>
    </row>
    <row r="24" spans="1:30" x14ac:dyDescent="0.3">
      <c r="E24" t="s">
        <v>8</v>
      </c>
      <c r="F24" s="3">
        <v>157</v>
      </c>
      <c r="G24" s="2">
        <v>2030</v>
      </c>
      <c r="I24" s="1" t="s">
        <v>183</v>
      </c>
      <c r="J24" s="2">
        <f t="shared" si="3"/>
        <v>157</v>
      </c>
      <c r="L24" s="1" t="str">
        <f t="shared" si="4"/>
        <v/>
      </c>
      <c r="M24">
        <f t="shared" si="5"/>
        <v>157</v>
      </c>
      <c r="N24" s="2" t="str">
        <f t="shared" si="6"/>
        <v/>
      </c>
      <c r="AB24" s="1" t="e">
        <f t="shared" si="0"/>
        <v>#N/A</v>
      </c>
      <c r="AC24">
        <f t="shared" si="1"/>
        <v>157</v>
      </c>
      <c r="AD24" s="2" t="e">
        <f t="shared" si="2"/>
        <v>#N/A</v>
      </c>
    </row>
    <row r="25" spans="1:30" x14ac:dyDescent="0.3">
      <c r="A25" t="s">
        <v>36</v>
      </c>
      <c r="B25" t="s">
        <v>37</v>
      </c>
      <c r="C25" t="s">
        <v>38</v>
      </c>
      <c r="E25" t="s">
        <v>7</v>
      </c>
      <c r="F25" s="3">
        <v>97</v>
      </c>
      <c r="G25" s="2">
        <v>2030</v>
      </c>
      <c r="I25" s="1" t="s">
        <v>183</v>
      </c>
      <c r="J25" s="2">
        <f t="shared" si="3"/>
        <v>97</v>
      </c>
      <c r="L25" s="1" t="str">
        <f t="shared" si="4"/>
        <v/>
      </c>
      <c r="M25">
        <f t="shared" si="5"/>
        <v>97</v>
      </c>
      <c r="N25" s="2" t="str">
        <f t="shared" si="6"/>
        <v/>
      </c>
      <c r="AB25" s="1" t="e">
        <f t="shared" si="0"/>
        <v>#N/A</v>
      </c>
      <c r="AC25">
        <f t="shared" si="1"/>
        <v>97</v>
      </c>
      <c r="AD25" s="2" t="e">
        <f t="shared" si="2"/>
        <v>#N/A</v>
      </c>
    </row>
    <row r="26" spans="1:30" x14ac:dyDescent="0.3">
      <c r="E26" t="s">
        <v>8</v>
      </c>
      <c r="F26" s="3">
        <v>220</v>
      </c>
      <c r="G26" s="2">
        <v>2030</v>
      </c>
      <c r="I26" s="1" t="s">
        <v>183</v>
      </c>
      <c r="J26" s="2">
        <f t="shared" si="3"/>
        <v>220</v>
      </c>
      <c r="L26" s="1" t="str">
        <f t="shared" si="4"/>
        <v/>
      </c>
      <c r="M26">
        <f t="shared" si="5"/>
        <v>220</v>
      </c>
      <c r="N26" s="2" t="str">
        <f t="shared" si="6"/>
        <v/>
      </c>
      <c r="AB26" s="1" t="e">
        <f t="shared" si="0"/>
        <v>#N/A</v>
      </c>
      <c r="AC26">
        <f t="shared" si="1"/>
        <v>220</v>
      </c>
      <c r="AD26" s="2" t="e">
        <f t="shared" si="2"/>
        <v>#N/A</v>
      </c>
    </row>
    <row r="27" spans="1:30" x14ac:dyDescent="0.3">
      <c r="A27" t="s">
        <v>189</v>
      </c>
      <c r="B27" t="s">
        <v>46</v>
      </c>
      <c r="C27" t="s">
        <v>190</v>
      </c>
      <c r="D27" t="s">
        <v>191</v>
      </c>
      <c r="F27">
        <v>338</v>
      </c>
      <c r="G27" s="2">
        <v>2021</v>
      </c>
      <c r="I27" s="1" t="s">
        <v>183</v>
      </c>
      <c r="J27" s="2">
        <f t="shared" si="3"/>
        <v>338</v>
      </c>
      <c r="L27" s="1">
        <f t="shared" si="4"/>
        <v>338</v>
      </c>
      <c r="N27" s="2" t="str">
        <f t="shared" si="6"/>
        <v/>
      </c>
      <c r="AB27" s="1">
        <f t="shared" si="0"/>
        <v>338</v>
      </c>
      <c r="AC27" t="e">
        <f t="shared" si="1"/>
        <v>#N/A</v>
      </c>
      <c r="AD27" s="2" t="e">
        <f t="shared" si="2"/>
        <v>#N/A</v>
      </c>
    </row>
    <row r="28" spans="1:30" x14ac:dyDescent="0.3">
      <c r="C28" t="s">
        <v>192</v>
      </c>
      <c r="D28" t="s">
        <v>193</v>
      </c>
      <c r="F28">
        <v>537</v>
      </c>
      <c r="G28" s="2">
        <v>2021</v>
      </c>
      <c r="I28" s="1" t="s">
        <v>183</v>
      </c>
      <c r="J28" s="2">
        <f t="shared" si="3"/>
        <v>537</v>
      </c>
      <c r="L28" s="1">
        <f t="shared" si="4"/>
        <v>537</v>
      </c>
      <c r="N28" s="2" t="str">
        <f t="shared" si="6"/>
        <v/>
      </c>
      <c r="AB28" s="1">
        <f t="shared" si="0"/>
        <v>537</v>
      </c>
      <c r="AC28" t="e">
        <f t="shared" si="1"/>
        <v>#N/A</v>
      </c>
      <c r="AD28" s="2" t="e">
        <f t="shared" si="2"/>
        <v>#N/A</v>
      </c>
    </row>
    <row r="29" spans="1:30" x14ac:dyDescent="0.3">
      <c r="F29"/>
      <c r="N29" s="2" t="str">
        <f t="shared" si="6"/>
        <v/>
      </c>
      <c r="AB29" s="1" t="e">
        <f t="shared" si="0"/>
        <v>#N/A</v>
      </c>
      <c r="AC29" t="e">
        <f t="shared" si="1"/>
        <v>#N/A</v>
      </c>
      <c r="AD29" s="2" t="e">
        <f t="shared" si="2"/>
        <v>#N/A</v>
      </c>
    </row>
    <row r="30" spans="1:30" x14ac:dyDescent="0.3">
      <c r="F30"/>
      <c r="N30" s="2" t="str">
        <f t="shared" si="6"/>
        <v/>
      </c>
      <c r="AB30" s="1" t="e">
        <f t="shared" si="0"/>
        <v>#N/A</v>
      </c>
      <c r="AC30" t="e">
        <f t="shared" si="1"/>
        <v>#N/A</v>
      </c>
      <c r="AD30" s="2" t="e">
        <f t="shared" si="2"/>
        <v>#N/A</v>
      </c>
    </row>
    <row r="31" spans="1:30" x14ac:dyDescent="0.3">
      <c r="F31"/>
      <c r="N31" s="2" t="str">
        <f t="shared" si="6"/>
        <v/>
      </c>
      <c r="AB31" s="1" t="e">
        <f t="shared" si="0"/>
        <v>#N/A</v>
      </c>
      <c r="AC31" t="e">
        <f t="shared" si="1"/>
        <v>#N/A</v>
      </c>
      <c r="AD31" s="2" t="e">
        <f t="shared" si="2"/>
        <v>#N/A</v>
      </c>
    </row>
    <row r="32" spans="1:30" x14ac:dyDescent="0.3">
      <c r="F32"/>
      <c r="N32" s="2" t="str">
        <f>IF(G32&gt;2039,J32,"")</f>
        <v/>
      </c>
      <c r="AB32" s="1" t="e">
        <f t="shared" si="0"/>
        <v>#N/A</v>
      </c>
      <c r="AC32" t="e">
        <f t="shared" si="1"/>
        <v>#N/A</v>
      </c>
      <c r="AD32" s="2" t="e">
        <f t="shared" si="2"/>
        <v>#N/A</v>
      </c>
    </row>
    <row r="33" spans="6:30" x14ac:dyDescent="0.3">
      <c r="F33"/>
      <c r="N33" s="2" t="str">
        <f t="shared" si="6"/>
        <v/>
      </c>
      <c r="AB33" s="1" t="e">
        <f t="shared" si="0"/>
        <v>#N/A</v>
      </c>
      <c r="AC33" t="e">
        <f t="shared" si="1"/>
        <v>#N/A</v>
      </c>
      <c r="AD33" s="2" t="e">
        <f t="shared" si="2"/>
        <v>#N/A</v>
      </c>
    </row>
    <row r="34" spans="6:30" x14ac:dyDescent="0.3">
      <c r="F34"/>
      <c r="N34" s="2" t="str">
        <f t="shared" si="6"/>
        <v/>
      </c>
      <c r="AB34" s="1" t="e">
        <f t="shared" si="0"/>
        <v>#N/A</v>
      </c>
      <c r="AC34" t="e">
        <f t="shared" si="1"/>
        <v>#N/A</v>
      </c>
      <c r="AD34" s="2" t="e">
        <f t="shared" si="2"/>
        <v>#N/A</v>
      </c>
    </row>
    <row r="35" spans="6:30" x14ac:dyDescent="0.3">
      <c r="F35"/>
      <c r="N35" s="2" t="str">
        <f t="shared" si="6"/>
        <v/>
      </c>
      <c r="AB35" s="1" t="e">
        <f t="shared" si="0"/>
        <v>#N/A</v>
      </c>
      <c r="AC35" t="e">
        <f t="shared" si="1"/>
        <v>#N/A</v>
      </c>
      <c r="AD35" s="2" t="e">
        <f t="shared" si="2"/>
        <v>#N/A</v>
      </c>
    </row>
    <row r="36" spans="6:30" x14ac:dyDescent="0.3">
      <c r="F36"/>
      <c r="N36" s="2" t="str">
        <f t="shared" si="6"/>
        <v/>
      </c>
      <c r="AB36" s="1" t="e">
        <f t="shared" si="0"/>
        <v>#N/A</v>
      </c>
      <c r="AC36" t="e">
        <f t="shared" si="1"/>
        <v>#N/A</v>
      </c>
      <c r="AD36" s="2" t="e">
        <f t="shared" si="2"/>
        <v>#N/A</v>
      </c>
    </row>
    <row r="37" spans="6:30" x14ac:dyDescent="0.3">
      <c r="F37"/>
      <c r="N37" s="2" t="str">
        <f t="shared" si="6"/>
        <v/>
      </c>
      <c r="AB37" s="1" t="e">
        <f t="shared" ref="AB37:AB68" si="7">IF(L37="",NA(),L37)</f>
        <v>#N/A</v>
      </c>
      <c r="AC37" t="e">
        <f t="shared" ref="AC37:AC68" si="8">IF(M37="",NA(),M37)</f>
        <v>#N/A</v>
      </c>
      <c r="AD37" s="2" t="e">
        <f t="shared" ref="AD37:AD68" si="9">IF(N37="",NA(),N37)</f>
        <v>#N/A</v>
      </c>
    </row>
    <row r="38" spans="6:30" x14ac:dyDescent="0.3">
      <c r="F38"/>
      <c r="N38" s="2" t="str">
        <f t="shared" si="6"/>
        <v/>
      </c>
      <c r="AB38" s="1" t="e">
        <f t="shared" si="7"/>
        <v>#N/A</v>
      </c>
      <c r="AC38" t="e">
        <f t="shared" si="8"/>
        <v>#N/A</v>
      </c>
      <c r="AD38" s="2" t="e">
        <f t="shared" si="9"/>
        <v>#N/A</v>
      </c>
    </row>
    <row r="39" spans="6:30" x14ac:dyDescent="0.3">
      <c r="F39"/>
      <c r="N39" s="2" t="str">
        <f t="shared" si="6"/>
        <v/>
      </c>
      <c r="AB39" s="1" t="e">
        <f t="shared" si="7"/>
        <v>#N/A</v>
      </c>
      <c r="AC39" t="e">
        <f t="shared" si="8"/>
        <v>#N/A</v>
      </c>
      <c r="AD39" s="2" t="e">
        <f t="shared" si="9"/>
        <v>#N/A</v>
      </c>
    </row>
    <row r="40" spans="6:30" x14ac:dyDescent="0.3">
      <c r="F40"/>
      <c r="N40" s="2" t="str">
        <f t="shared" si="6"/>
        <v/>
      </c>
      <c r="AB40" s="1" t="e">
        <f t="shared" si="7"/>
        <v>#N/A</v>
      </c>
      <c r="AC40" t="e">
        <f t="shared" si="8"/>
        <v>#N/A</v>
      </c>
      <c r="AD40" s="2" t="e">
        <f t="shared" si="9"/>
        <v>#N/A</v>
      </c>
    </row>
    <row r="41" spans="6:30" x14ac:dyDescent="0.3">
      <c r="F41"/>
      <c r="N41" s="2" t="str">
        <f t="shared" si="6"/>
        <v/>
      </c>
      <c r="AB41" s="1" t="e">
        <f t="shared" si="7"/>
        <v>#N/A</v>
      </c>
      <c r="AC41" t="e">
        <f t="shared" si="8"/>
        <v>#N/A</v>
      </c>
      <c r="AD41" s="2" t="e">
        <f t="shared" si="9"/>
        <v>#N/A</v>
      </c>
    </row>
    <row r="42" spans="6:30" x14ac:dyDescent="0.3">
      <c r="F42"/>
      <c r="N42" s="2" t="str">
        <f t="shared" si="6"/>
        <v/>
      </c>
      <c r="AB42" s="1" t="e">
        <f t="shared" si="7"/>
        <v>#N/A</v>
      </c>
      <c r="AC42" t="e">
        <f t="shared" si="8"/>
        <v>#N/A</v>
      </c>
      <c r="AD42" s="2" t="e">
        <f t="shared" si="9"/>
        <v>#N/A</v>
      </c>
    </row>
    <row r="43" spans="6:30" x14ac:dyDescent="0.3">
      <c r="F43"/>
      <c r="N43" s="2" t="str">
        <f t="shared" si="6"/>
        <v/>
      </c>
      <c r="AB43" s="1" t="e">
        <f t="shared" si="7"/>
        <v>#N/A</v>
      </c>
      <c r="AC43" t="e">
        <f t="shared" si="8"/>
        <v>#N/A</v>
      </c>
      <c r="AD43" s="2" t="e">
        <f t="shared" si="9"/>
        <v>#N/A</v>
      </c>
    </row>
    <row r="44" spans="6:30" x14ac:dyDescent="0.3">
      <c r="F44"/>
      <c r="N44" s="2" t="str">
        <f t="shared" si="6"/>
        <v/>
      </c>
      <c r="AB44" s="1" t="e">
        <f t="shared" si="7"/>
        <v>#N/A</v>
      </c>
      <c r="AC44" t="e">
        <f t="shared" si="8"/>
        <v>#N/A</v>
      </c>
      <c r="AD44" s="2" t="e">
        <f t="shared" si="9"/>
        <v>#N/A</v>
      </c>
    </row>
    <row r="45" spans="6:30" x14ac:dyDescent="0.3">
      <c r="F45"/>
      <c r="N45" s="2" t="str">
        <f t="shared" si="6"/>
        <v/>
      </c>
      <c r="AB45" s="1" t="e">
        <f t="shared" si="7"/>
        <v>#N/A</v>
      </c>
      <c r="AC45" t="e">
        <f t="shared" si="8"/>
        <v>#N/A</v>
      </c>
      <c r="AD45" s="2" t="e">
        <f t="shared" si="9"/>
        <v>#N/A</v>
      </c>
    </row>
    <row r="46" spans="6:30" x14ac:dyDescent="0.3">
      <c r="F46"/>
      <c r="N46" s="2" t="str">
        <f t="shared" si="6"/>
        <v/>
      </c>
      <c r="AB46" s="1" t="e">
        <f t="shared" si="7"/>
        <v>#N/A</v>
      </c>
      <c r="AC46" t="e">
        <f t="shared" si="8"/>
        <v>#N/A</v>
      </c>
      <c r="AD46" s="2" t="e">
        <f t="shared" si="9"/>
        <v>#N/A</v>
      </c>
    </row>
    <row r="47" spans="6:30" x14ac:dyDescent="0.3">
      <c r="F47"/>
      <c r="N47" s="2" t="str">
        <f t="shared" si="6"/>
        <v/>
      </c>
      <c r="AB47" s="1" t="e">
        <f t="shared" si="7"/>
        <v>#N/A</v>
      </c>
      <c r="AC47" t="e">
        <f t="shared" si="8"/>
        <v>#N/A</v>
      </c>
      <c r="AD47" s="2" t="e">
        <f t="shared" si="9"/>
        <v>#N/A</v>
      </c>
    </row>
    <row r="48" spans="6:30" x14ac:dyDescent="0.3">
      <c r="F48"/>
      <c r="N48" s="2" t="str">
        <f t="shared" si="6"/>
        <v/>
      </c>
      <c r="AB48" s="1" t="e">
        <f t="shared" si="7"/>
        <v>#N/A</v>
      </c>
      <c r="AC48" t="e">
        <f t="shared" si="8"/>
        <v>#N/A</v>
      </c>
      <c r="AD48" s="2" t="e">
        <f t="shared" si="9"/>
        <v>#N/A</v>
      </c>
    </row>
    <row r="49" spans="6:30" x14ac:dyDescent="0.3">
      <c r="F49"/>
      <c r="N49" s="2" t="str">
        <f t="shared" si="6"/>
        <v/>
      </c>
      <c r="AB49" s="1" t="e">
        <f t="shared" si="7"/>
        <v>#N/A</v>
      </c>
      <c r="AC49" t="e">
        <f t="shared" si="8"/>
        <v>#N/A</v>
      </c>
      <c r="AD49" s="2" t="e">
        <f t="shared" si="9"/>
        <v>#N/A</v>
      </c>
    </row>
    <row r="50" spans="6:30" x14ac:dyDescent="0.3">
      <c r="F50"/>
      <c r="N50" s="2" t="str">
        <f t="shared" si="6"/>
        <v/>
      </c>
      <c r="AB50" s="1" t="e">
        <f t="shared" si="7"/>
        <v>#N/A</v>
      </c>
      <c r="AC50" t="e">
        <f t="shared" si="8"/>
        <v>#N/A</v>
      </c>
      <c r="AD50" s="2" t="e">
        <f t="shared" si="9"/>
        <v>#N/A</v>
      </c>
    </row>
    <row r="51" spans="6:30" x14ac:dyDescent="0.3">
      <c r="N51" s="2" t="str">
        <f t="shared" si="6"/>
        <v/>
      </c>
      <c r="AB51" s="1" t="e">
        <f t="shared" si="7"/>
        <v>#N/A</v>
      </c>
      <c r="AC51" t="e">
        <f t="shared" si="8"/>
        <v>#N/A</v>
      </c>
      <c r="AD51" s="2" t="e">
        <f t="shared" si="9"/>
        <v>#N/A</v>
      </c>
    </row>
    <row r="52" spans="6:30" x14ac:dyDescent="0.3">
      <c r="N52" s="2" t="str">
        <f t="shared" si="6"/>
        <v/>
      </c>
      <c r="AB52" s="1" t="e">
        <f t="shared" si="7"/>
        <v>#N/A</v>
      </c>
      <c r="AC52" t="e">
        <f t="shared" si="8"/>
        <v>#N/A</v>
      </c>
      <c r="AD52" s="2" t="e">
        <f t="shared" si="9"/>
        <v>#N/A</v>
      </c>
    </row>
    <row r="53" spans="6:30" x14ac:dyDescent="0.3">
      <c r="N53" s="2" t="str">
        <f t="shared" si="6"/>
        <v/>
      </c>
      <c r="AB53" s="1" t="e">
        <f t="shared" si="7"/>
        <v>#N/A</v>
      </c>
      <c r="AC53" t="e">
        <f t="shared" si="8"/>
        <v>#N/A</v>
      </c>
      <c r="AD53" s="2" t="e">
        <f t="shared" si="9"/>
        <v>#N/A</v>
      </c>
    </row>
    <row r="54" spans="6:30" x14ac:dyDescent="0.3">
      <c r="N54" s="2" t="str">
        <f t="shared" si="6"/>
        <v/>
      </c>
      <c r="AB54" s="1" t="e">
        <f t="shared" si="7"/>
        <v>#N/A</v>
      </c>
      <c r="AC54" t="e">
        <f t="shared" si="8"/>
        <v>#N/A</v>
      </c>
      <c r="AD54" s="2" t="e">
        <f t="shared" si="9"/>
        <v>#N/A</v>
      </c>
    </row>
    <row r="55" spans="6:30" x14ac:dyDescent="0.3">
      <c r="N55" s="2" t="str">
        <f t="shared" si="6"/>
        <v/>
      </c>
      <c r="AB55" s="1" t="e">
        <f t="shared" si="7"/>
        <v>#N/A</v>
      </c>
      <c r="AC55" t="e">
        <f t="shared" si="8"/>
        <v>#N/A</v>
      </c>
      <c r="AD55" s="2" t="e">
        <f t="shared" si="9"/>
        <v>#N/A</v>
      </c>
    </row>
    <row r="56" spans="6:30" x14ac:dyDescent="0.3">
      <c r="N56" s="2" t="str">
        <f t="shared" si="6"/>
        <v/>
      </c>
      <c r="AB56" s="1" t="e">
        <f t="shared" si="7"/>
        <v>#N/A</v>
      </c>
      <c r="AC56" t="e">
        <f t="shared" si="8"/>
        <v>#N/A</v>
      </c>
      <c r="AD56" s="2" t="e">
        <f t="shared" si="9"/>
        <v>#N/A</v>
      </c>
    </row>
    <row r="57" spans="6:30" x14ac:dyDescent="0.3">
      <c r="M57" t="str">
        <f t="shared" ref="M57:M88" si="10">IF(G57=2030,F57,"")</f>
        <v/>
      </c>
      <c r="N57" s="2" t="str">
        <f t="shared" si="6"/>
        <v/>
      </c>
      <c r="AB57" s="1" t="e">
        <f t="shared" si="7"/>
        <v>#N/A</v>
      </c>
      <c r="AC57" t="e">
        <f t="shared" si="8"/>
        <v>#N/A</v>
      </c>
      <c r="AD57" s="2" t="e">
        <f t="shared" si="9"/>
        <v>#N/A</v>
      </c>
    </row>
    <row r="58" spans="6:30" x14ac:dyDescent="0.3">
      <c r="M58" t="str">
        <f t="shared" si="10"/>
        <v/>
      </c>
      <c r="N58" s="2" t="str">
        <f t="shared" si="6"/>
        <v/>
      </c>
      <c r="AB58" s="1" t="e">
        <f t="shared" si="7"/>
        <v>#N/A</v>
      </c>
      <c r="AC58" t="e">
        <f t="shared" si="8"/>
        <v>#N/A</v>
      </c>
      <c r="AD58" s="2" t="e">
        <f t="shared" si="9"/>
        <v>#N/A</v>
      </c>
    </row>
    <row r="59" spans="6:30" x14ac:dyDescent="0.3">
      <c r="M59" t="str">
        <f t="shared" si="10"/>
        <v/>
      </c>
      <c r="N59" s="2" t="str">
        <f t="shared" si="6"/>
        <v/>
      </c>
      <c r="AB59" s="1" t="e">
        <f t="shared" si="7"/>
        <v>#N/A</v>
      </c>
      <c r="AC59" t="e">
        <f t="shared" si="8"/>
        <v>#N/A</v>
      </c>
      <c r="AD59" s="2" t="e">
        <f t="shared" si="9"/>
        <v>#N/A</v>
      </c>
    </row>
    <row r="60" spans="6:30" x14ac:dyDescent="0.3">
      <c r="M60" t="str">
        <f t="shared" si="10"/>
        <v/>
      </c>
      <c r="N60" s="2" t="str">
        <f t="shared" si="6"/>
        <v/>
      </c>
      <c r="AB60" s="1" t="e">
        <f t="shared" si="7"/>
        <v>#N/A</v>
      </c>
      <c r="AC60" t="e">
        <f t="shared" si="8"/>
        <v>#N/A</v>
      </c>
      <c r="AD60" s="2" t="e">
        <f t="shared" si="9"/>
        <v>#N/A</v>
      </c>
    </row>
    <row r="61" spans="6:30" x14ac:dyDescent="0.3">
      <c r="M61" t="str">
        <f t="shared" si="10"/>
        <v/>
      </c>
      <c r="N61" s="2" t="str">
        <f t="shared" si="6"/>
        <v/>
      </c>
      <c r="AB61" s="1" t="e">
        <f t="shared" si="7"/>
        <v>#N/A</v>
      </c>
      <c r="AC61" t="e">
        <f t="shared" si="8"/>
        <v>#N/A</v>
      </c>
      <c r="AD61" s="2" t="e">
        <f t="shared" si="9"/>
        <v>#N/A</v>
      </c>
    </row>
    <row r="62" spans="6:30" x14ac:dyDescent="0.3">
      <c r="M62" t="str">
        <f t="shared" si="10"/>
        <v/>
      </c>
      <c r="N62" s="2" t="str">
        <f t="shared" si="6"/>
        <v/>
      </c>
      <c r="AB62" s="1" t="e">
        <f t="shared" si="7"/>
        <v>#N/A</v>
      </c>
      <c r="AC62" t="e">
        <f t="shared" si="8"/>
        <v>#N/A</v>
      </c>
      <c r="AD62" s="2" t="e">
        <f t="shared" si="9"/>
        <v>#N/A</v>
      </c>
    </row>
    <row r="63" spans="6:30" x14ac:dyDescent="0.3">
      <c r="M63" t="str">
        <f t="shared" si="10"/>
        <v/>
      </c>
      <c r="N63" s="2" t="str">
        <f t="shared" si="6"/>
        <v/>
      </c>
      <c r="AB63" s="1" t="e">
        <f t="shared" si="7"/>
        <v>#N/A</v>
      </c>
      <c r="AC63" t="e">
        <f t="shared" si="8"/>
        <v>#N/A</v>
      </c>
      <c r="AD63" s="2" t="e">
        <f t="shared" si="9"/>
        <v>#N/A</v>
      </c>
    </row>
    <row r="64" spans="6:30" x14ac:dyDescent="0.3">
      <c r="M64" t="str">
        <f t="shared" si="10"/>
        <v/>
      </c>
      <c r="N64" s="2" t="str">
        <f t="shared" si="6"/>
        <v/>
      </c>
      <c r="AB64" s="1" t="e">
        <f t="shared" si="7"/>
        <v>#N/A</v>
      </c>
      <c r="AC64" t="e">
        <f t="shared" si="8"/>
        <v>#N/A</v>
      </c>
      <c r="AD64" s="2" t="e">
        <f t="shared" si="9"/>
        <v>#N/A</v>
      </c>
    </row>
    <row r="65" spans="13:30" x14ac:dyDescent="0.3">
      <c r="M65" t="str">
        <f t="shared" si="10"/>
        <v/>
      </c>
      <c r="N65" s="2" t="str">
        <f t="shared" si="6"/>
        <v/>
      </c>
      <c r="AB65" s="1" t="e">
        <f t="shared" si="7"/>
        <v>#N/A</v>
      </c>
      <c r="AC65" t="e">
        <f t="shared" si="8"/>
        <v>#N/A</v>
      </c>
      <c r="AD65" s="2" t="e">
        <f t="shared" si="9"/>
        <v>#N/A</v>
      </c>
    </row>
    <row r="66" spans="13:30" x14ac:dyDescent="0.3">
      <c r="M66" t="str">
        <f t="shared" si="10"/>
        <v/>
      </c>
      <c r="N66" s="2" t="str">
        <f t="shared" si="6"/>
        <v/>
      </c>
      <c r="AB66" s="1" t="e">
        <f t="shared" si="7"/>
        <v>#N/A</v>
      </c>
      <c r="AC66" t="e">
        <f t="shared" si="8"/>
        <v>#N/A</v>
      </c>
      <c r="AD66" s="2" t="e">
        <f t="shared" si="9"/>
        <v>#N/A</v>
      </c>
    </row>
    <row r="67" spans="13:30" x14ac:dyDescent="0.3">
      <c r="M67" t="str">
        <f t="shared" si="10"/>
        <v/>
      </c>
      <c r="N67" s="2" t="str">
        <f t="shared" si="6"/>
        <v/>
      </c>
      <c r="AB67" s="1" t="e">
        <f t="shared" si="7"/>
        <v>#N/A</v>
      </c>
      <c r="AC67" t="e">
        <f t="shared" si="8"/>
        <v>#N/A</v>
      </c>
      <c r="AD67" s="2" t="e">
        <f t="shared" si="9"/>
        <v>#N/A</v>
      </c>
    </row>
    <row r="68" spans="13:30" x14ac:dyDescent="0.3">
      <c r="M68" t="str">
        <f t="shared" si="10"/>
        <v/>
      </c>
      <c r="N68" s="2" t="str">
        <f t="shared" si="6"/>
        <v/>
      </c>
      <c r="AB68" s="1" t="e">
        <f t="shared" si="7"/>
        <v>#N/A</v>
      </c>
      <c r="AC68" t="e">
        <f t="shared" si="8"/>
        <v>#N/A</v>
      </c>
      <c r="AD68" s="2" t="e">
        <f t="shared" si="9"/>
        <v>#N/A</v>
      </c>
    </row>
    <row r="69" spans="13:30" x14ac:dyDescent="0.3">
      <c r="M69" t="str">
        <f t="shared" si="10"/>
        <v/>
      </c>
      <c r="N69" s="2" t="str">
        <f t="shared" si="6"/>
        <v/>
      </c>
      <c r="AB69" s="1" t="e">
        <f t="shared" ref="AB69:AB100" si="11">IF(L69="",NA(),L69)</f>
        <v>#N/A</v>
      </c>
      <c r="AC69" t="e">
        <f t="shared" ref="AC69:AC100" si="12">IF(M69="",NA(),M69)</f>
        <v>#N/A</v>
      </c>
      <c r="AD69" s="2" t="e">
        <f t="shared" ref="AD69:AD100" si="13">IF(N69="",NA(),N69)</f>
        <v>#N/A</v>
      </c>
    </row>
    <row r="70" spans="13:30" x14ac:dyDescent="0.3">
      <c r="M70" t="str">
        <f t="shared" si="10"/>
        <v/>
      </c>
      <c r="N70" s="2" t="str">
        <f t="shared" ref="N70:N102" si="14">IF(G70&gt;2039,J70,"")</f>
        <v/>
      </c>
      <c r="AB70" s="1" t="e">
        <f t="shared" si="11"/>
        <v>#N/A</v>
      </c>
      <c r="AC70" t="e">
        <f t="shared" si="12"/>
        <v>#N/A</v>
      </c>
      <c r="AD70" s="2" t="e">
        <f t="shared" si="13"/>
        <v>#N/A</v>
      </c>
    </row>
    <row r="71" spans="13:30" x14ac:dyDescent="0.3">
      <c r="M71" t="str">
        <f t="shared" si="10"/>
        <v/>
      </c>
      <c r="N71" s="2" t="str">
        <f t="shared" si="14"/>
        <v/>
      </c>
      <c r="AB71" s="1" t="e">
        <f t="shared" si="11"/>
        <v>#N/A</v>
      </c>
      <c r="AC71" t="e">
        <f t="shared" si="12"/>
        <v>#N/A</v>
      </c>
      <c r="AD71" s="2" t="e">
        <f t="shared" si="13"/>
        <v>#N/A</v>
      </c>
    </row>
    <row r="72" spans="13:30" x14ac:dyDescent="0.3">
      <c r="M72" t="str">
        <f t="shared" si="10"/>
        <v/>
      </c>
      <c r="N72" s="2" t="str">
        <f t="shared" si="14"/>
        <v/>
      </c>
      <c r="AB72" s="1" t="e">
        <f t="shared" si="11"/>
        <v>#N/A</v>
      </c>
      <c r="AC72" t="e">
        <f t="shared" si="12"/>
        <v>#N/A</v>
      </c>
      <c r="AD72" s="2" t="e">
        <f t="shared" si="13"/>
        <v>#N/A</v>
      </c>
    </row>
    <row r="73" spans="13:30" x14ac:dyDescent="0.3">
      <c r="M73" t="str">
        <f t="shared" si="10"/>
        <v/>
      </c>
      <c r="N73" s="2" t="str">
        <f t="shared" si="14"/>
        <v/>
      </c>
      <c r="AB73" s="1" t="e">
        <f t="shared" si="11"/>
        <v>#N/A</v>
      </c>
      <c r="AC73" t="e">
        <f t="shared" si="12"/>
        <v>#N/A</v>
      </c>
      <c r="AD73" s="2" t="e">
        <f t="shared" si="13"/>
        <v>#N/A</v>
      </c>
    </row>
    <row r="74" spans="13:30" x14ac:dyDescent="0.3">
      <c r="M74" t="str">
        <f t="shared" si="10"/>
        <v/>
      </c>
      <c r="N74" s="2" t="str">
        <f t="shared" si="14"/>
        <v/>
      </c>
      <c r="AB74" s="1" t="e">
        <f t="shared" si="11"/>
        <v>#N/A</v>
      </c>
      <c r="AC74" t="e">
        <f t="shared" si="12"/>
        <v>#N/A</v>
      </c>
      <c r="AD74" s="2" t="e">
        <f t="shared" si="13"/>
        <v>#N/A</v>
      </c>
    </row>
    <row r="75" spans="13:30" x14ac:dyDescent="0.3">
      <c r="M75" t="str">
        <f t="shared" si="10"/>
        <v/>
      </c>
      <c r="N75" s="2" t="str">
        <f t="shared" si="14"/>
        <v/>
      </c>
      <c r="AB75" s="1" t="e">
        <f t="shared" si="11"/>
        <v>#N/A</v>
      </c>
      <c r="AC75" t="e">
        <f t="shared" si="12"/>
        <v>#N/A</v>
      </c>
      <c r="AD75" s="2" t="e">
        <f t="shared" si="13"/>
        <v>#N/A</v>
      </c>
    </row>
    <row r="76" spans="13:30" x14ac:dyDescent="0.3">
      <c r="M76" t="str">
        <f t="shared" si="10"/>
        <v/>
      </c>
      <c r="N76" s="2" t="str">
        <f t="shared" si="14"/>
        <v/>
      </c>
      <c r="AB76" s="1" t="e">
        <f t="shared" si="11"/>
        <v>#N/A</v>
      </c>
      <c r="AC76" t="e">
        <f t="shared" si="12"/>
        <v>#N/A</v>
      </c>
      <c r="AD76" s="2" t="e">
        <f t="shared" si="13"/>
        <v>#N/A</v>
      </c>
    </row>
    <row r="77" spans="13:30" x14ac:dyDescent="0.3">
      <c r="M77" t="str">
        <f t="shared" si="10"/>
        <v/>
      </c>
      <c r="N77" s="2" t="str">
        <f t="shared" si="14"/>
        <v/>
      </c>
      <c r="AB77" s="1" t="e">
        <f t="shared" si="11"/>
        <v>#N/A</v>
      </c>
      <c r="AC77" t="e">
        <f t="shared" si="12"/>
        <v>#N/A</v>
      </c>
      <c r="AD77" s="2" t="e">
        <f t="shared" si="13"/>
        <v>#N/A</v>
      </c>
    </row>
    <row r="78" spans="13:30" x14ac:dyDescent="0.3">
      <c r="M78" t="str">
        <f t="shared" si="10"/>
        <v/>
      </c>
      <c r="N78" s="2" t="str">
        <f t="shared" si="14"/>
        <v/>
      </c>
      <c r="AB78" s="1" t="e">
        <f t="shared" si="11"/>
        <v>#N/A</v>
      </c>
      <c r="AC78" t="e">
        <f t="shared" si="12"/>
        <v>#N/A</v>
      </c>
      <c r="AD78" s="2" t="e">
        <f t="shared" si="13"/>
        <v>#N/A</v>
      </c>
    </row>
    <row r="79" spans="13:30" x14ac:dyDescent="0.3">
      <c r="M79" t="str">
        <f t="shared" si="10"/>
        <v/>
      </c>
      <c r="N79" s="2" t="str">
        <f t="shared" si="14"/>
        <v/>
      </c>
      <c r="AB79" s="1" t="e">
        <f t="shared" si="11"/>
        <v>#N/A</v>
      </c>
      <c r="AC79" t="e">
        <f t="shared" si="12"/>
        <v>#N/A</v>
      </c>
      <c r="AD79" s="2" t="e">
        <f t="shared" si="13"/>
        <v>#N/A</v>
      </c>
    </row>
    <row r="80" spans="13:30" x14ac:dyDescent="0.3">
      <c r="M80" t="str">
        <f t="shared" si="10"/>
        <v/>
      </c>
      <c r="N80" s="2" t="str">
        <f t="shared" si="14"/>
        <v/>
      </c>
      <c r="AB80" s="1" t="e">
        <f t="shared" si="11"/>
        <v>#N/A</v>
      </c>
      <c r="AC80" t="e">
        <f t="shared" si="12"/>
        <v>#N/A</v>
      </c>
      <c r="AD80" s="2" t="e">
        <f t="shared" si="13"/>
        <v>#N/A</v>
      </c>
    </row>
    <row r="81" spans="13:30" x14ac:dyDescent="0.3">
      <c r="M81" t="str">
        <f t="shared" si="10"/>
        <v/>
      </c>
      <c r="N81" s="2" t="str">
        <f t="shared" si="14"/>
        <v/>
      </c>
      <c r="AB81" s="1" t="e">
        <f t="shared" si="11"/>
        <v>#N/A</v>
      </c>
      <c r="AC81" t="e">
        <f t="shared" si="12"/>
        <v>#N/A</v>
      </c>
      <c r="AD81" s="2" t="e">
        <f t="shared" si="13"/>
        <v>#N/A</v>
      </c>
    </row>
    <row r="82" spans="13:30" x14ac:dyDescent="0.3">
      <c r="M82" t="str">
        <f t="shared" si="10"/>
        <v/>
      </c>
      <c r="N82" s="2" t="str">
        <f t="shared" si="14"/>
        <v/>
      </c>
      <c r="AB82" s="1" t="e">
        <f t="shared" si="11"/>
        <v>#N/A</v>
      </c>
      <c r="AC82" t="e">
        <f t="shared" si="12"/>
        <v>#N/A</v>
      </c>
      <c r="AD82" s="2" t="e">
        <f t="shared" si="13"/>
        <v>#N/A</v>
      </c>
    </row>
    <row r="83" spans="13:30" x14ac:dyDescent="0.3">
      <c r="M83" t="str">
        <f t="shared" si="10"/>
        <v/>
      </c>
      <c r="N83" s="2" t="str">
        <f t="shared" si="14"/>
        <v/>
      </c>
      <c r="AB83" s="1" t="e">
        <f t="shared" si="11"/>
        <v>#N/A</v>
      </c>
      <c r="AC83" t="e">
        <f t="shared" si="12"/>
        <v>#N/A</v>
      </c>
      <c r="AD83" s="2" t="e">
        <f t="shared" si="13"/>
        <v>#N/A</v>
      </c>
    </row>
    <row r="84" spans="13:30" x14ac:dyDescent="0.3">
      <c r="M84" t="str">
        <f t="shared" si="10"/>
        <v/>
      </c>
      <c r="N84" s="2" t="str">
        <f t="shared" si="14"/>
        <v/>
      </c>
      <c r="AB84" s="1" t="e">
        <f t="shared" si="11"/>
        <v>#N/A</v>
      </c>
      <c r="AC84" t="e">
        <f t="shared" si="12"/>
        <v>#N/A</v>
      </c>
      <c r="AD84" s="2" t="e">
        <f t="shared" si="13"/>
        <v>#N/A</v>
      </c>
    </row>
    <row r="85" spans="13:30" x14ac:dyDescent="0.3">
      <c r="M85" t="str">
        <f t="shared" si="10"/>
        <v/>
      </c>
      <c r="N85" s="2" t="str">
        <f t="shared" si="14"/>
        <v/>
      </c>
      <c r="AB85" s="1" t="e">
        <f t="shared" si="11"/>
        <v>#N/A</v>
      </c>
      <c r="AC85" t="e">
        <f t="shared" si="12"/>
        <v>#N/A</v>
      </c>
      <c r="AD85" s="2" t="e">
        <f t="shared" si="13"/>
        <v>#N/A</v>
      </c>
    </row>
    <row r="86" spans="13:30" x14ac:dyDescent="0.3">
      <c r="M86" t="str">
        <f t="shared" si="10"/>
        <v/>
      </c>
      <c r="N86" s="2" t="str">
        <f t="shared" si="14"/>
        <v/>
      </c>
      <c r="AB86" s="1" t="e">
        <f t="shared" si="11"/>
        <v>#N/A</v>
      </c>
      <c r="AC86" t="e">
        <f t="shared" si="12"/>
        <v>#N/A</v>
      </c>
      <c r="AD86" s="2" t="e">
        <f t="shared" si="13"/>
        <v>#N/A</v>
      </c>
    </row>
    <row r="87" spans="13:30" x14ac:dyDescent="0.3">
      <c r="M87" t="str">
        <f t="shared" si="10"/>
        <v/>
      </c>
      <c r="N87" s="2" t="str">
        <f t="shared" si="14"/>
        <v/>
      </c>
      <c r="AB87" s="1" t="e">
        <f t="shared" si="11"/>
        <v>#N/A</v>
      </c>
      <c r="AC87" t="e">
        <f t="shared" si="12"/>
        <v>#N/A</v>
      </c>
      <c r="AD87" s="2" t="e">
        <f t="shared" si="13"/>
        <v>#N/A</v>
      </c>
    </row>
    <row r="88" spans="13:30" x14ac:dyDescent="0.3">
      <c r="M88" t="str">
        <f t="shared" si="10"/>
        <v/>
      </c>
      <c r="N88" s="2" t="str">
        <f t="shared" si="14"/>
        <v/>
      </c>
      <c r="AB88" s="1" t="e">
        <f t="shared" si="11"/>
        <v>#N/A</v>
      </c>
      <c r="AC88" t="e">
        <f t="shared" si="12"/>
        <v>#N/A</v>
      </c>
      <c r="AD88" s="2" t="e">
        <f t="shared" si="13"/>
        <v>#N/A</v>
      </c>
    </row>
    <row r="89" spans="13:30" x14ac:dyDescent="0.3">
      <c r="M89" t="str">
        <f t="shared" ref="M89:M120" si="15">IF(G89=2030,F89,"")</f>
        <v/>
      </c>
      <c r="N89" s="2" t="str">
        <f t="shared" si="14"/>
        <v/>
      </c>
      <c r="AB89" s="1" t="e">
        <f t="shared" si="11"/>
        <v>#N/A</v>
      </c>
      <c r="AC89" t="e">
        <f t="shared" si="12"/>
        <v>#N/A</v>
      </c>
      <c r="AD89" s="2" t="e">
        <f t="shared" si="13"/>
        <v>#N/A</v>
      </c>
    </row>
    <row r="90" spans="13:30" x14ac:dyDescent="0.3">
      <c r="M90" t="str">
        <f t="shared" si="15"/>
        <v/>
      </c>
      <c r="N90" s="2" t="str">
        <f t="shared" si="14"/>
        <v/>
      </c>
      <c r="AB90" s="1" t="e">
        <f t="shared" si="11"/>
        <v>#N/A</v>
      </c>
      <c r="AC90" t="e">
        <f t="shared" si="12"/>
        <v>#N/A</v>
      </c>
      <c r="AD90" s="2" t="e">
        <f t="shared" si="13"/>
        <v>#N/A</v>
      </c>
    </row>
    <row r="91" spans="13:30" x14ac:dyDescent="0.3">
      <c r="M91" t="str">
        <f t="shared" si="15"/>
        <v/>
      </c>
      <c r="N91" s="2" t="str">
        <f t="shared" si="14"/>
        <v/>
      </c>
      <c r="AB91" s="1" t="e">
        <f t="shared" si="11"/>
        <v>#N/A</v>
      </c>
      <c r="AC91" t="e">
        <f t="shared" si="12"/>
        <v>#N/A</v>
      </c>
      <c r="AD91" s="2" t="e">
        <f t="shared" si="13"/>
        <v>#N/A</v>
      </c>
    </row>
    <row r="92" spans="13:30" x14ac:dyDescent="0.3">
      <c r="M92" t="str">
        <f t="shared" si="15"/>
        <v/>
      </c>
      <c r="N92" s="2" t="str">
        <f t="shared" si="14"/>
        <v/>
      </c>
      <c r="AB92" s="1" t="e">
        <f t="shared" si="11"/>
        <v>#N/A</v>
      </c>
      <c r="AC92" t="e">
        <f t="shared" si="12"/>
        <v>#N/A</v>
      </c>
      <c r="AD92" s="2" t="e">
        <f t="shared" si="13"/>
        <v>#N/A</v>
      </c>
    </row>
    <row r="93" spans="13:30" x14ac:dyDescent="0.3">
      <c r="M93" t="str">
        <f t="shared" si="15"/>
        <v/>
      </c>
      <c r="N93" s="2" t="str">
        <f t="shared" si="14"/>
        <v/>
      </c>
      <c r="AB93" s="1" t="e">
        <f t="shared" si="11"/>
        <v>#N/A</v>
      </c>
      <c r="AC93" t="e">
        <f t="shared" si="12"/>
        <v>#N/A</v>
      </c>
      <c r="AD93" s="2" t="e">
        <f t="shared" si="13"/>
        <v>#N/A</v>
      </c>
    </row>
    <row r="94" spans="13:30" x14ac:dyDescent="0.3">
      <c r="M94" t="str">
        <f t="shared" si="15"/>
        <v/>
      </c>
      <c r="N94" s="2" t="str">
        <f t="shared" si="14"/>
        <v/>
      </c>
      <c r="AB94" s="1" t="e">
        <f t="shared" si="11"/>
        <v>#N/A</v>
      </c>
      <c r="AC94" t="e">
        <f t="shared" si="12"/>
        <v>#N/A</v>
      </c>
      <c r="AD94" s="2" t="e">
        <f t="shared" si="13"/>
        <v>#N/A</v>
      </c>
    </row>
    <row r="95" spans="13:30" x14ac:dyDescent="0.3">
      <c r="M95" t="str">
        <f t="shared" si="15"/>
        <v/>
      </c>
      <c r="N95" s="2" t="str">
        <f t="shared" si="14"/>
        <v/>
      </c>
      <c r="AB95" s="1" t="e">
        <f t="shared" si="11"/>
        <v>#N/A</v>
      </c>
      <c r="AC95" t="e">
        <f t="shared" si="12"/>
        <v>#N/A</v>
      </c>
      <c r="AD95" s="2" t="e">
        <f t="shared" si="13"/>
        <v>#N/A</v>
      </c>
    </row>
    <row r="96" spans="13:30" x14ac:dyDescent="0.3">
      <c r="M96" t="str">
        <f t="shared" si="15"/>
        <v/>
      </c>
      <c r="N96" s="2" t="str">
        <f t="shared" si="14"/>
        <v/>
      </c>
      <c r="AB96" s="1" t="e">
        <f t="shared" si="11"/>
        <v>#N/A</v>
      </c>
      <c r="AC96" t="e">
        <f t="shared" si="12"/>
        <v>#N/A</v>
      </c>
      <c r="AD96" s="2" t="e">
        <f t="shared" si="13"/>
        <v>#N/A</v>
      </c>
    </row>
    <row r="97" spans="13:30" x14ac:dyDescent="0.3">
      <c r="M97" t="str">
        <f t="shared" si="15"/>
        <v/>
      </c>
      <c r="N97" s="2" t="str">
        <f t="shared" si="14"/>
        <v/>
      </c>
      <c r="AB97" s="1" t="e">
        <f t="shared" si="11"/>
        <v>#N/A</v>
      </c>
      <c r="AC97" t="e">
        <f t="shared" si="12"/>
        <v>#N/A</v>
      </c>
      <c r="AD97" s="2" t="e">
        <f t="shared" si="13"/>
        <v>#N/A</v>
      </c>
    </row>
    <row r="98" spans="13:30" x14ac:dyDescent="0.3">
      <c r="M98" t="str">
        <f t="shared" si="15"/>
        <v/>
      </c>
      <c r="N98" s="2" t="str">
        <f t="shared" si="14"/>
        <v/>
      </c>
      <c r="AB98" s="1" t="e">
        <f t="shared" si="11"/>
        <v>#N/A</v>
      </c>
      <c r="AC98" t="e">
        <f t="shared" si="12"/>
        <v>#N/A</v>
      </c>
      <c r="AD98" s="2" t="e">
        <f t="shared" si="13"/>
        <v>#N/A</v>
      </c>
    </row>
    <row r="99" spans="13:30" x14ac:dyDescent="0.3">
      <c r="M99" t="str">
        <f t="shared" si="15"/>
        <v/>
      </c>
      <c r="N99" s="2" t="str">
        <f t="shared" si="14"/>
        <v/>
      </c>
      <c r="AB99" s="1" t="e">
        <f t="shared" si="11"/>
        <v>#N/A</v>
      </c>
      <c r="AC99" t="e">
        <f t="shared" si="12"/>
        <v>#N/A</v>
      </c>
      <c r="AD99" s="2" t="e">
        <f t="shared" si="13"/>
        <v>#N/A</v>
      </c>
    </row>
    <row r="100" spans="13:30" x14ac:dyDescent="0.3">
      <c r="M100" t="str">
        <f t="shared" si="15"/>
        <v/>
      </c>
      <c r="N100" s="2" t="str">
        <f t="shared" si="14"/>
        <v/>
      </c>
      <c r="AB100" s="1" t="e">
        <f t="shared" si="11"/>
        <v>#N/A</v>
      </c>
      <c r="AC100" t="e">
        <f t="shared" si="12"/>
        <v>#N/A</v>
      </c>
      <c r="AD100" s="2" t="e">
        <f t="shared" si="13"/>
        <v>#N/A</v>
      </c>
    </row>
    <row r="101" spans="13:30" x14ac:dyDescent="0.3">
      <c r="M101" t="str">
        <f t="shared" si="15"/>
        <v/>
      </c>
      <c r="N101" s="2" t="str">
        <f t="shared" si="14"/>
        <v/>
      </c>
      <c r="AB101" s="1" t="e">
        <f t="shared" ref="AB101:AB123" si="16">IF(L101="",NA(),L101)</f>
        <v>#N/A</v>
      </c>
      <c r="AC101" t="e">
        <f t="shared" ref="AC101:AC123" si="17">IF(M101="",NA(),M101)</f>
        <v>#N/A</v>
      </c>
      <c r="AD101" s="2" t="e">
        <f t="shared" ref="AD101:AD123" si="18">IF(N101="",NA(),N101)</f>
        <v>#N/A</v>
      </c>
    </row>
    <row r="102" spans="13:30" x14ac:dyDescent="0.3">
      <c r="M102" t="str">
        <f t="shared" si="15"/>
        <v/>
      </c>
      <c r="N102" s="2" t="str">
        <f t="shared" si="14"/>
        <v/>
      </c>
      <c r="AB102" s="1" t="e">
        <f t="shared" si="16"/>
        <v>#N/A</v>
      </c>
      <c r="AC102" t="e">
        <f t="shared" si="17"/>
        <v>#N/A</v>
      </c>
      <c r="AD102" s="2" t="e">
        <f t="shared" si="18"/>
        <v>#N/A</v>
      </c>
    </row>
    <row r="103" spans="13:30" x14ac:dyDescent="0.3">
      <c r="M103" t="str">
        <f t="shared" si="15"/>
        <v/>
      </c>
      <c r="AB103" s="1" t="e">
        <f t="shared" si="16"/>
        <v>#N/A</v>
      </c>
      <c r="AC103" t="e">
        <f t="shared" si="17"/>
        <v>#N/A</v>
      </c>
      <c r="AD103" s="2" t="e">
        <f t="shared" si="18"/>
        <v>#N/A</v>
      </c>
    </row>
    <row r="104" spans="13:30" x14ac:dyDescent="0.3">
      <c r="M104" t="str">
        <f t="shared" si="15"/>
        <v/>
      </c>
      <c r="AB104" s="1" t="e">
        <f t="shared" si="16"/>
        <v>#N/A</v>
      </c>
      <c r="AC104" t="e">
        <f t="shared" si="17"/>
        <v>#N/A</v>
      </c>
      <c r="AD104" s="2" t="e">
        <f t="shared" si="18"/>
        <v>#N/A</v>
      </c>
    </row>
    <row r="105" spans="13:30" x14ac:dyDescent="0.3">
      <c r="M105" t="str">
        <f t="shared" si="15"/>
        <v/>
      </c>
      <c r="AB105" s="1" t="e">
        <f t="shared" si="16"/>
        <v>#N/A</v>
      </c>
      <c r="AC105" t="e">
        <f t="shared" si="17"/>
        <v>#N/A</v>
      </c>
      <c r="AD105" s="2" t="e">
        <f t="shared" si="18"/>
        <v>#N/A</v>
      </c>
    </row>
    <row r="106" spans="13:30" x14ac:dyDescent="0.3">
      <c r="M106" t="str">
        <f t="shared" si="15"/>
        <v/>
      </c>
      <c r="AB106" s="1" t="e">
        <f t="shared" si="16"/>
        <v>#N/A</v>
      </c>
      <c r="AC106" t="e">
        <f t="shared" si="17"/>
        <v>#N/A</v>
      </c>
      <c r="AD106" s="2" t="e">
        <f t="shared" si="18"/>
        <v>#N/A</v>
      </c>
    </row>
    <row r="107" spans="13:30" x14ac:dyDescent="0.3">
      <c r="M107" t="str">
        <f t="shared" si="15"/>
        <v/>
      </c>
      <c r="AB107" s="1" t="e">
        <f t="shared" si="16"/>
        <v>#N/A</v>
      </c>
      <c r="AC107" t="e">
        <f t="shared" si="17"/>
        <v>#N/A</v>
      </c>
      <c r="AD107" s="2" t="e">
        <f t="shared" si="18"/>
        <v>#N/A</v>
      </c>
    </row>
    <row r="108" spans="13:30" x14ac:dyDescent="0.3">
      <c r="M108" t="str">
        <f t="shared" si="15"/>
        <v/>
      </c>
      <c r="AB108" s="1" t="e">
        <f t="shared" si="16"/>
        <v>#N/A</v>
      </c>
      <c r="AC108" t="e">
        <f t="shared" si="17"/>
        <v>#N/A</v>
      </c>
      <c r="AD108" s="2" t="e">
        <f t="shared" si="18"/>
        <v>#N/A</v>
      </c>
    </row>
    <row r="109" spans="13:30" x14ac:dyDescent="0.3">
      <c r="M109" t="str">
        <f t="shared" si="15"/>
        <v/>
      </c>
      <c r="AB109" s="1" t="e">
        <f t="shared" si="16"/>
        <v>#N/A</v>
      </c>
      <c r="AC109" t="e">
        <f t="shared" si="17"/>
        <v>#N/A</v>
      </c>
      <c r="AD109" s="2" t="e">
        <f t="shared" si="18"/>
        <v>#N/A</v>
      </c>
    </row>
    <row r="110" spans="13:30" x14ac:dyDescent="0.3">
      <c r="M110" t="str">
        <f t="shared" si="15"/>
        <v/>
      </c>
      <c r="AB110" s="1" t="e">
        <f t="shared" si="16"/>
        <v>#N/A</v>
      </c>
      <c r="AC110" t="e">
        <f t="shared" si="17"/>
        <v>#N/A</v>
      </c>
      <c r="AD110" s="2" t="e">
        <f t="shared" si="18"/>
        <v>#N/A</v>
      </c>
    </row>
    <row r="111" spans="13:30" x14ac:dyDescent="0.3">
      <c r="M111" t="str">
        <f t="shared" si="15"/>
        <v/>
      </c>
      <c r="AB111" s="1" t="e">
        <f t="shared" si="16"/>
        <v>#N/A</v>
      </c>
      <c r="AC111" t="e">
        <f t="shared" si="17"/>
        <v>#N/A</v>
      </c>
      <c r="AD111" s="2" t="e">
        <f t="shared" si="18"/>
        <v>#N/A</v>
      </c>
    </row>
    <row r="112" spans="13:30" x14ac:dyDescent="0.3">
      <c r="M112" t="str">
        <f t="shared" si="15"/>
        <v/>
      </c>
      <c r="AB112" s="1" t="e">
        <f t="shared" si="16"/>
        <v>#N/A</v>
      </c>
      <c r="AC112" t="e">
        <f t="shared" si="17"/>
        <v>#N/A</v>
      </c>
      <c r="AD112" s="2" t="e">
        <f t="shared" si="18"/>
        <v>#N/A</v>
      </c>
    </row>
    <row r="113" spans="13:30" x14ac:dyDescent="0.3">
      <c r="M113" t="str">
        <f t="shared" si="15"/>
        <v/>
      </c>
      <c r="AB113" s="1" t="e">
        <f t="shared" si="16"/>
        <v>#N/A</v>
      </c>
      <c r="AC113" t="e">
        <f t="shared" si="17"/>
        <v>#N/A</v>
      </c>
      <c r="AD113" s="2" t="e">
        <f t="shared" si="18"/>
        <v>#N/A</v>
      </c>
    </row>
    <row r="114" spans="13:30" x14ac:dyDescent="0.3">
      <c r="M114" t="str">
        <f t="shared" si="15"/>
        <v/>
      </c>
      <c r="AB114" s="1" t="e">
        <f t="shared" si="16"/>
        <v>#N/A</v>
      </c>
      <c r="AC114" t="e">
        <f t="shared" si="17"/>
        <v>#N/A</v>
      </c>
      <c r="AD114" s="2" t="e">
        <f t="shared" si="18"/>
        <v>#N/A</v>
      </c>
    </row>
    <row r="115" spans="13:30" x14ac:dyDescent="0.3">
      <c r="M115" t="str">
        <f t="shared" si="15"/>
        <v/>
      </c>
      <c r="AB115" s="1" t="e">
        <f t="shared" si="16"/>
        <v>#N/A</v>
      </c>
      <c r="AC115" t="e">
        <f t="shared" si="17"/>
        <v>#N/A</v>
      </c>
      <c r="AD115" s="2" t="e">
        <f t="shared" si="18"/>
        <v>#N/A</v>
      </c>
    </row>
    <row r="116" spans="13:30" x14ac:dyDescent="0.3">
      <c r="M116" t="str">
        <f t="shared" si="15"/>
        <v/>
      </c>
      <c r="AB116" s="1" t="e">
        <f t="shared" si="16"/>
        <v>#N/A</v>
      </c>
      <c r="AC116" t="e">
        <f t="shared" si="17"/>
        <v>#N/A</v>
      </c>
      <c r="AD116" s="2" t="e">
        <f t="shared" si="18"/>
        <v>#N/A</v>
      </c>
    </row>
    <row r="117" spans="13:30" x14ac:dyDescent="0.3">
      <c r="M117" t="str">
        <f t="shared" si="15"/>
        <v/>
      </c>
      <c r="AB117" s="1" t="e">
        <f t="shared" si="16"/>
        <v>#N/A</v>
      </c>
      <c r="AC117" t="e">
        <f t="shared" si="17"/>
        <v>#N/A</v>
      </c>
      <c r="AD117" s="2" t="e">
        <f t="shared" si="18"/>
        <v>#N/A</v>
      </c>
    </row>
    <row r="118" spans="13:30" x14ac:dyDescent="0.3">
      <c r="M118" t="str">
        <f t="shared" si="15"/>
        <v/>
      </c>
      <c r="AB118" s="1" t="e">
        <f t="shared" si="16"/>
        <v>#N/A</v>
      </c>
      <c r="AC118" t="e">
        <f t="shared" si="17"/>
        <v>#N/A</v>
      </c>
      <c r="AD118" s="2" t="e">
        <f t="shared" si="18"/>
        <v>#N/A</v>
      </c>
    </row>
    <row r="119" spans="13:30" x14ac:dyDescent="0.3">
      <c r="M119" t="str">
        <f t="shared" si="15"/>
        <v/>
      </c>
      <c r="AB119" s="1" t="e">
        <f t="shared" si="16"/>
        <v>#N/A</v>
      </c>
      <c r="AC119" t="e">
        <f t="shared" si="17"/>
        <v>#N/A</v>
      </c>
      <c r="AD119" s="2" t="e">
        <f t="shared" si="18"/>
        <v>#N/A</v>
      </c>
    </row>
    <row r="120" spans="13:30" x14ac:dyDescent="0.3">
      <c r="M120" t="str">
        <f t="shared" si="15"/>
        <v/>
      </c>
      <c r="AB120" s="1" t="e">
        <f t="shared" si="16"/>
        <v>#N/A</v>
      </c>
      <c r="AC120" t="e">
        <f t="shared" si="17"/>
        <v>#N/A</v>
      </c>
      <c r="AD120" s="2" t="e">
        <f t="shared" si="18"/>
        <v>#N/A</v>
      </c>
    </row>
    <row r="121" spans="13:30" x14ac:dyDescent="0.3">
      <c r="M121" t="str">
        <f t="shared" ref="M121:M137" si="19">IF(G121=2030,F121,"")</f>
        <v/>
      </c>
      <c r="AB121" s="1" t="e">
        <f t="shared" si="16"/>
        <v>#N/A</v>
      </c>
      <c r="AC121" t="e">
        <f t="shared" si="17"/>
        <v>#N/A</v>
      </c>
      <c r="AD121" s="2" t="e">
        <f t="shared" si="18"/>
        <v>#N/A</v>
      </c>
    </row>
    <row r="122" spans="13:30" x14ac:dyDescent="0.3">
      <c r="M122" t="str">
        <f t="shared" si="19"/>
        <v/>
      </c>
      <c r="AB122" s="1" t="e">
        <f t="shared" si="16"/>
        <v>#N/A</v>
      </c>
      <c r="AC122" t="e">
        <f t="shared" si="17"/>
        <v>#N/A</v>
      </c>
      <c r="AD122" s="2" t="e">
        <f t="shared" si="18"/>
        <v>#N/A</v>
      </c>
    </row>
    <row r="123" spans="13:30" x14ac:dyDescent="0.3">
      <c r="M123" t="str">
        <f t="shared" si="19"/>
        <v/>
      </c>
      <c r="AB123" s="1" t="e">
        <f t="shared" si="16"/>
        <v>#N/A</v>
      </c>
      <c r="AC123" t="e">
        <f t="shared" si="17"/>
        <v>#N/A</v>
      </c>
      <c r="AD123" s="2" t="e">
        <f t="shared" si="18"/>
        <v>#N/A</v>
      </c>
    </row>
    <row r="124" spans="13:30" x14ac:dyDescent="0.3">
      <c r="M124" t="str">
        <f t="shared" si="19"/>
        <v/>
      </c>
      <c r="AC124" t="str">
        <f t="shared" ref="AC124:AC137" si="20">IF(V124=2030,S124,"")</f>
        <v/>
      </c>
    </row>
    <row r="125" spans="13:30" x14ac:dyDescent="0.3">
      <c r="M125" t="str">
        <f t="shared" si="19"/>
        <v/>
      </c>
      <c r="AC125" t="str">
        <f t="shared" si="20"/>
        <v/>
      </c>
    </row>
    <row r="126" spans="13:30" x14ac:dyDescent="0.3">
      <c r="M126" t="str">
        <f t="shared" si="19"/>
        <v/>
      </c>
      <c r="AC126" t="str">
        <f t="shared" si="20"/>
        <v/>
      </c>
    </row>
    <row r="127" spans="13:30" x14ac:dyDescent="0.3">
      <c r="M127" t="str">
        <f t="shared" si="19"/>
        <v/>
      </c>
      <c r="AC127" t="str">
        <f t="shared" si="20"/>
        <v/>
      </c>
    </row>
    <row r="128" spans="13:30" x14ac:dyDescent="0.3">
      <c r="M128" t="str">
        <f t="shared" si="19"/>
        <v/>
      </c>
      <c r="AC128" t="str">
        <f t="shared" si="20"/>
        <v/>
      </c>
    </row>
    <row r="129" spans="13:29" x14ac:dyDescent="0.3">
      <c r="M129" t="str">
        <f t="shared" si="19"/>
        <v/>
      </c>
      <c r="AC129" t="str">
        <f t="shared" si="20"/>
        <v/>
      </c>
    </row>
    <row r="130" spans="13:29" x14ac:dyDescent="0.3">
      <c r="M130" t="str">
        <f t="shared" si="19"/>
        <v/>
      </c>
      <c r="AC130" t="str">
        <f t="shared" si="20"/>
        <v/>
      </c>
    </row>
    <row r="131" spans="13:29" x14ac:dyDescent="0.3">
      <c r="M131" t="str">
        <f t="shared" si="19"/>
        <v/>
      </c>
      <c r="AC131" t="str">
        <f t="shared" si="20"/>
        <v/>
      </c>
    </row>
    <row r="132" spans="13:29" x14ac:dyDescent="0.3">
      <c r="M132" t="str">
        <f t="shared" si="19"/>
        <v/>
      </c>
      <c r="AC132" t="str">
        <f t="shared" si="20"/>
        <v/>
      </c>
    </row>
    <row r="133" spans="13:29" x14ac:dyDescent="0.3">
      <c r="M133" t="str">
        <f t="shared" si="19"/>
        <v/>
      </c>
      <c r="AC133" t="str">
        <f t="shared" si="20"/>
        <v/>
      </c>
    </row>
    <row r="134" spans="13:29" x14ac:dyDescent="0.3">
      <c r="M134" t="str">
        <f t="shared" si="19"/>
        <v/>
      </c>
      <c r="AC134" t="str">
        <f t="shared" si="20"/>
        <v/>
      </c>
    </row>
    <row r="135" spans="13:29" x14ac:dyDescent="0.3">
      <c r="M135" t="str">
        <f t="shared" si="19"/>
        <v/>
      </c>
      <c r="AC135" t="str">
        <f t="shared" si="20"/>
        <v/>
      </c>
    </row>
    <row r="136" spans="13:29" x14ac:dyDescent="0.3">
      <c r="M136" t="str">
        <f t="shared" si="19"/>
        <v/>
      </c>
      <c r="AC136" t="str">
        <f t="shared" si="20"/>
        <v/>
      </c>
    </row>
    <row r="137" spans="13:29" x14ac:dyDescent="0.3">
      <c r="M137" t="str">
        <f t="shared" si="19"/>
        <v/>
      </c>
      <c r="AC137" t="str">
        <f t="shared" si="20"/>
        <v/>
      </c>
    </row>
  </sheetData>
  <conditionalFormatting sqref="G1 G27:G1048576">
    <cfRule type="cellIs" dxfId="32" priority="6" operator="between">
      <formula>2039</formula>
      <formula>2050</formula>
    </cfRule>
  </conditionalFormatting>
  <conditionalFormatting sqref="G1:G1048576">
    <cfRule type="cellIs" dxfId="31" priority="1" operator="between">
      <formula>2010</formula>
      <formula>2029</formula>
    </cfRule>
    <cfRule type="cellIs" dxfId="30" priority="2" operator="equal">
      <formula>2030</formula>
    </cfRule>
  </conditionalFormatting>
  <conditionalFormatting sqref="G2:G26">
    <cfRule type="cellIs" dxfId="29" priority="3" operator="equal">
      <formula>2050</formula>
    </cfRule>
  </conditionalFormatting>
  <conditionalFormatting sqref="I1:I1048576">
    <cfRule type="cellIs" dxfId="28" priority="7" operator="equal">
      <formula>"no"</formula>
    </cfRule>
    <cfRule type="cellIs" dxfId="27" priority="8" operator="equal">
      <formula>"yes"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1981-1BBF-4387-A29F-D98D0D7D0FD5}">
  <dimension ref="A1:AD134"/>
  <sheetViews>
    <sheetView topLeftCell="A18" zoomScaleNormal="100" workbookViewId="0">
      <selection activeCell="B50" sqref="B50"/>
    </sheetView>
  </sheetViews>
  <sheetFormatPr defaultColWidth="8.88671875" defaultRowHeight="14.4" x14ac:dyDescent="0.3"/>
  <cols>
    <col min="1" max="1" width="15" customWidth="1"/>
    <col min="2" max="2" width="5.33203125" customWidth="1"/>
    <col min="3" max="3" width="23.6640625" customWidth="1"/>
    <col min="6" max="6" width="13.109375" style="3" customWidth="1"/>
    <col min="7" max="7" width="8.88671875" style="2"/>
    <col min="9" max="9" width="8.88671875" style="1"/>
    <col min="10" max="10" width="13.109375" style="2" customWidth="1"/>
    <col min="11" max="12" width="8.88671875" style="1"/>
    <col min="13" max="13" width="10.109375" customWidth="1"/>
    <col min="14" max="14" width="11.109375" style="2" customWidth="1"/>
    <col min="28" max="28" width="8.88671875" style="1"/>
    <col min="29" max="29" width="9.44140625" customWidth="1"/>
    <col min="30" max="30" width="9.5546875" style="2" customWidth="1"/>
  </cols>
  <sheetData>
    <row r="1" spans="1:30" s="4" customFormat="1" x14ac:dyDescent="0.3">
      <c r="A1" s="4" t="s">
        <v>10</v>
      </c>
      <c r="B1" s="4" t="s">
        <v>11</v>
      </c>
      <c r="C1" s="4" t="s">
        <v>12</v>
      </c>
      <c r="D1" s="4" t="s">
        <v>0</v>
      </c>
      <c r="E1" s="4" t="s">
        <v>1</v>
      </c>
      <c r="F1" s="5" t="s">
        <v>2</v>
      </c>
      <c r="G1" s="6" t="s">
        <v>3</v>
      </c>
      <c r="I1" s="7" t="s">
        <v>182</v>
      </c>
      <c r="J1" s="4" t="s">
        <v>2</v>
      </c>
      <c r="K1" s="7"/>
      <c r="L1" s="11" t="s">
        <v>39</v>
      </c>
      <c r="M1" s="12" t="s">
        <v>43</v>
      </c>
      <c r="N1" s="26" t="s">
        <v>44</v>
      </c>
      <c r="AB1" s="8" t="s">
        <v>39</v>
      </c>
      <c r="AC1" s="9" t="s">
        <v>43</v>
      </c>
      <c r="AD1" s="10" t="s">
        <v>44</v>
      </c>
    </row>
    <row r="2" spans="1:30" ht="15" thickBot="1" x14ac:dyDescent="0.35">
      <c r="A2" t="s">
        <v>45</v>
      </c>
      <c r="B2" t="s">
        <v>46</v>
      </c>
      <c r="C2" t="s">
        <v>47</v>
      </c>
      <c r="E2" t="s">
        <v>7</v>
      </c>
      <c r="F2">
        <v>500</v>
      </c>
      <c r="G2" s="2">
        <v>2019</v>
      </c>
      <c r="I2" s="1" t="s">
        <v>183</v>
      </c>
      <c r="J2" s="2">
        <f>IF(I2="yes",F2,"")</f>
        <v>500</v>
      </c>
      <c r="L2" s="1">
        <f>IF(G2&lt;2025,J2,"")</f>
        <v>500</v>
      </c>
      <c r="M2" t="str">
        <f>IF(G2=2030,J2,"")</f>
        <v/>
      </c>
      <c r="N2" s="2" t="str">
        <f>IF(G2&gt;2039,J2,"")</f>
        <v/>
      </c>
      <c r="AB2" s="1">
        <f t="shared" ref="AB2:AB33" si="0">IF(L2="",NA(),L2)</f>
        <v>500</v>
      </c>
      <c r="AC2" t="e">
        <f t="shared" ref="AC2:AC33" si="1">IF(M2="",NA(),M2)</f>
        <v>#N/A</v>
      </c>
      <c r="AD2" s="2" t="e">
        <f t="shared" ref="AD2:AD33" si="2">IF(N2="",NA(),N2)</f>
        <v>#N/A</v>
      </c>
    </row>
    <row r="3" spans="1:30" ht="15.6" x14ac:dyDescent="0.3">
      <c r="E3" t="s">
        <v>8</v>
      </c>
      <c r="F3">
        <v>1400</v>
      </c>
      <c r="G3" s="2">
        <v>2019</v>
      </c>
      <c r="I3" s="1" t="s">
        <v>183</v>
      </c>
      <c r="J3" s="2">
        <f t="shared" ref="J3:J47" si="3">IF(I3="yes",F3,"")</f>
        <v>1400</v>
      </c>
      <c r="L3" s="1">
        <f t="shared" ref="L3:L47" si="4">IF(G3&lt;2025,J3,"")</f>
        <v>1400</v>
      </c>
      <c r="M3" t="str">
        <f t="shared" ref="M3:M47" si="5">IF(G3=2030,J3,"")</f>
        <v/>
      </c>
      <c r="N3" s="2" t="str">
        <f t="shared" ref="N3:N66" si="6">IF(G3&gt;2039,J3,"")</f>
        <v/>
      </c>
      <c r="V3" s="15" t="s">
        <v>188</v>
      </c>
      <c r="W3" s="16" t="s">
        <v>40</v>
      </c>
      <c r="X3" s="17" t="s">
        <v>42</v>
      </c>
      <c r="Y3" s="18" t="s">
        <v>41</v>
      </c>
      <c r="AB3" s="1">
        <f t="shared" si="0"/>
        <v>1400</v>
      </c>
      <c r="AC3" t="e">
        <f t="shared" si="1"/>
        <v>#N/A</v>
      </c>
      <c r="AD3" s="2" t="e">
        <f t="shared" si="2"/>
        <v>#N/A</v>
      </c>
    </row>
    <row r="4" spans="1:30" x14ac:dyDescent="0.3">
      <c r="C4" t="s">
        <v>48</v>
      </c>
      <c r="E4" t="s">
        <v>7</v>
      </c>
      <c r="F4">
        <v>400</v>
      </c>
      <c r="G4" s="2">
        <v>2030</v>
      </c>
      <c r="I4" s="1" t="s">
        <v>183</v>
      </c>
      <c r="J4" s="2">
        <f t="shared" si="3"/>
        <v>400</v>
      </c>
      <c r="L4" s="1" t="str">
        <f t="shared" si="4"/>
        <v/>
      </c>
      <c r="M4">
        <f t="shared" si="5"/>
        <v>400</v>
      </c>
      <c r="N4" s="2" t="str">
        <f t="shared" si="6"/>
        <v/>
      </c>
      <c r="V4" s="19">
        <v>2020</v>
      </c>
      <c r="W4" s="14">
        <f>AVERAGE(L:L)</f>
        <v>882.8</v>
      </c>
      <c r="X4" s="13">
        <f>MIN(L:L)</f>
        <v>419</v>
      </c>
      <c r="Y4" s="20">
        <f>MAX(L:L)</f>
        <v>1400</v>
      </c>
      <c r="AB4" s="1" t="e">
        <f t="shared" si="0"/>
        <v>#N/A</v>
      </c>
      <c r="AC4">
        <f t="shared" si="1"/>
        <v>400</v>
      </c>
      <c r="AD4" s="2" t="e">
        <f t="shared" si="2"/>
        <v>#N/A</v>
      </c>
    </row>
    <row r="5" spans="1:30" x14ac:dyDescent="0.3">
      <c r="E5" t="s">
        <v>8</v>
      </c>
      <c r="F5">
        <v>850</v>
      </c>
      <c r="G5" s="2">
        <v>2030</v>
      </c>
      <c r="I5" s="1" t="s">
        <v>183</v>
      </c>
      <c r="J5" s="2">
        <f t="shared" si="3"/>
        <v>850</v>
      </c>
      <c r="L5" s="1" t="str">
        <f t="shared" si="4"/>
        <v/>
      </c>
      <c r="M5">
        <f t="shared" si="5"/>
        <v>850</v>
      </c>
      <c r="N5" s="2" t="str">
        <f t="shared" si="6"/>
        <v/>
      </c>
      <c r="V5" s="21">
        <v>2030</v>
      </c>
      <c r="W5" s="14">
        <f>AVERAGE(M:M)</f>
        <v>558.11764705882354</v>
      </c>
      <c r="X5" s="13">
        <f>MIN(M:M)</f>
        <v>225</v>
      </c>
      <c r="Y5" s="20">
        <f>MAX(M:M)</f>
        <v>1000</v>
      </c>
      <c r="AB5" s="1" t="e">
        <f t="shared" si="0"/>
        <v>#N/A</v>
      </c>
      <c r="AC5">
        <f t="shared" si="1"/>
        <v>850</v>
      </c>
      <c r="AD5" s="2" t="e">
        <f t="shared" si="2"/>
        <v>#N/A</v>
      </c>
    </row>
    <row r="6" spans="1:30" ht="15" thickBot="1" x14ac:dyDescent="0.35">
      <c r="C6" t="s">
        <v>49</v>
      </c>
      <c r="E6" t="s">
        <v>7</v>
      </c>
      <c r="F6">
        <v>200</v>
      </c>
      <c r="G6" s="2">
        <v>2050</v>
      </c>
      <c r="I6" s="1" t="s">
        <v>183</v>
      </c>
      <c r="J6" s="2">
        <f t="shared" si="3"/>
        <v>200</v>
      </c>
      <c r="L6" s="1" t="str">
        <f t="shared" si="4"/>
        <v/>
      </c>
      <c r="M6" t="str">
        <f t="shared" si="5"/>
        <v/>
      </c>
      <c r="N6" s="2">
        <f t="shared" si="6"/>
        <v>200</v>
      </c>
      <c r="V6" s="22">
        <v>2050</v>
      </c>
      <c r="W6" s="23">
        <f>AVERAGE(N:N)</f>
        <v>355</v>
      </c>
      <c r="X6" s="24">
        <f>MIN(N:N)</f>
        <v>171</v>
      </c>
      <c r="Y6" s="25">
        <f>MAX(N:N)</f>
        <v>700</v>
      </c>
      <c r="AB6" s="1" t="e">
        <f t="shared" si="0"/>
        <v>#N/A</v>
      </c>
      <c r="AC6" t="e">
        <f t="shared" si="1"/>
        <v>#N/A</v>
      </c>
      <c r="AD6" s="2">
        <f t="shared" si="2"/>
        <v>200</v>
      </c>
    </row>
    <row r="7" spans="1:30" x14ac:dyDescent="0.3">
      <c r="E7" t="s">
        <v>8</v>
      </c>
      <c r="F7">
        <v>700</v>
      </c>
      <c r="G7" s="2">
        <v>2050</v>
      </c>
      <c r="I7" s="1" t="s">
        <v>183</v>
      </c>
      <c r="J7" s="2">
        <f t="shared" si="3"/>
        <v>700</v>
      </c>
      <c r="L7" s="1" t="str">
        <f t="shared" si="4"/>
        <v/>
      </c>
      <c r="M7" t="str">
        <f t="shared" si="5"/>
        <v/>
      </c>
      <c r="N7" s="2">
        <f t="shared" si="6"/>
        <v>700</v>
      </c>
      <c r="AB7" s="1" t="e">
        <f t="shared" si="0"/>
        <v>#N/A</v>
      </c>
      <c r="AC7" t="e">
        <f t="shared" si="1"/>
        <v>#N/A</v>
      </c>
      <c r="AD7" s="2">
        <f t="shared" si="2"/>
        <v>700</v>
      </c>
    </row>
    <row r="8" spans="1:30" x14ac:dyDescent="0.3">
      <c r="A8" t="s">
        <v>50</v>
      </c>
      <c r="B8" t="s">
        <v>51</v>
      </c>
      <c r="C8">
        <v>1320</v>
      </c>
      <c r="F8">
        <v>1320</v>
      </c>
      <c r="G8" s="2">
        <v>2020</v>
      </c>
      <c r="I8" s="1" t="s">
        <v>184</v>
      </c>
      <c r="J8" s="2" t="str">
        <f t="shared" si="3"/>
        <v/>
      </c>
      <c r="L8" s="1" t="str">
        <f t="shared" si="4"/>
        <v/>
      </c>
      <c r="M8" t="str">
        <f t="shared" si="5"/>
        <v/>
      </c>
      <c r="N8" s="2" t="str">
        <f t="shared" si="6"/>
        <v/>
      </c>
      <c r="AB8" s="1" t="e">
        <f t="shared" si="0"/>
        <v>#N/A</v>
      </c>
      <c r="AC8" t="e">
        <f t="shared" si="1"/>
        <v>#N/A</v>
      </c>
      <c r="AD8" s="2" t="e">
        <f t="shared" si="2"/>
        <v>#N/A</v>
      </c>
    </row>
    <row r="9" spans="1:30" x14ac:dyDescent="0.3">
      <c r="C9" t="s">
        <v>52</v>
      </c>
      <c r="E9" t="s">
        <v>7</v>
      </c>
      <c r="F9">
        <v>410</v>
      </c>
      <c r="G9" s="2">
        <v>2030</v>
      </c>
      <c r="I9" s="1" t="s">
        <v>183</v>
      </c>
      <c r="J9" s="2">
        <f t="shared" si="3"/>
        <v>410</v>
      </c>
      <c r="L9" s="1" t="str">
        <f t="shared" si="4"/>
        <v/>
      </c>
      <c r="M9">
        <f t="shared" si="5"/>
        <v>410</v>
      </c>
      <c r="N9" s="2" t="str">
        <f t="shared" si="6"/>
        <v/>
      </c>
      <c r="AB9" s="1" t="e">
        <f t="shared" si="0"/>
        <v>#N/A</v>
      </c>
      <c r="AC9">
        <f t="shared" si="1"/>
        <v>410</v>
      </c>
      <c r="AD9" s="2" t="e">
        <f t="shared" si="2"/>
        <v>#N/A</v>
      </c>
    </row>
    <row r="10" spans="1:30" x14ac:dyDescent="0.3">
      <c r="E10" t="s">
        <v>8</v>
      </c>
      <c r="F10">
        <v>530</v>
      </c>
      <c r="G10" s="2">
        <v>2030</v>
      </c>
      <c r="I10" s="1" t="s">
        <v>183</v>
      </c>
      <c r="J10" s="2">
        <f t="shared" si="3"/>
        <v>530</v>
      </c>
      <c r="L10" s="1" t="str">
        <f t="shared" si="4"/>
        <v/>
      </c>
      <c r="M10">
        <f t="shared" si="5"/>
        <v>530</v>
      </c>
      <c r="N10" s="2" t="str">
        <f t="shared" si="6"/>
        <v/>
      </c>
      <c r="AB10" s="1" t="e">
        <f t="shared" si="0"/>
        <v>#N/A</v>
      </c>
      <c r="AC10">
        <f t="shared" si="1"/>
        <v>530</v>
      </c>
      <c r="AD10" s="2" t="e">
        <f t="shared" si="2"/>
        <v>#N/A</v>
      </c>
    </row>
    <row r="11" spans="1:30" x14ac:dyDescent="0.3">
      <c r="C11" t="s">
        <v>53</v>
      </c>
      <c r="E11" t="s">
        <v>7</v>
      </c>
      <c r="F11">
        <v>320</v>
      </c>
      <c r="G11" s="2">
        <v>2040</v>
      </c>
      <c r="I11" s="1" t="s">
        <v>183</v>
      </c>
      <c r="J11" s="2">
        <f t="shared" si="3"/>
        <v>320</v>
      </c>
      <c r="L11" s="1" t="str">
        <f t="shared" si="4"/>
        <v/>
      </c>
      <c r="M11" t="str">
        <f t="shared" si="5"/>
        <v/>
      </c>
      <c r="N11" s="2">
        <f t="shared" si="6"/>
        <v>320</v>
      </c>
      <c r="AB11" s="1" t="e">
        <f t="shared" si="0"/>
        <v>#N/A</v>
      </c>
      <c r="AC11" t="e">
        <f t="shared" si="1"/>
        <v>#N/A</v>
      </c>
      <c r="AD11" s="2">
        <f t="shared" si="2"/>
        <v>320</v>
      </c>
    </row>
    <row r="12" spans="1:30" x14ac:dyDescent="0.3">
      <c r="E12" t="s">
        <v>8</v>
      </c>
      <c r="F12">
        <v>285</v>
      </c>
      <c r="G12" s="2">
        <v>2040</v>
      </c>
      <c r="I12" s="1" t="s">
        <v>183</v>
      </c>
      <c r="J12" s="2">
        <f t="shared" si="3"/>
        <v>285</v>
      </c>
      <c r="L12" s="1" t="str">
        <f t="shared" si="4"/>
        <v/>
      </c>
      <c r="M12" t="str">
        <f t="shared" si="5"/>
        <v/>
      </c>
      <c r="N12" s="2">
        <f t="shared" si="6"/>
        <v>285</v>
      </c>
      <c r="AB12" s="1" t="e">
        <f t="shared" si="0"/>
        <v>#N/A</v>
      </c>
      <c r="AC12" t="e">
        <f t="shared" si="1"/>
        <v>#N/A</v>
      </c>
      <c r="AD12" s="2">
        <f t="shared" si="2"/>
        <v>285</v>
      </c>
    </row>
    <row r="13" spans="1:30" x14ac:dyDescent="0.3">
      <c r="A13" t="s">
        <v>54</v>
      </c>
      <c r="B13" t="s">
        <v>55</v>
      </c>
      <c r="C13" t="s">
        <v>56</v>
      </c>
      <c r="E13" t="s">
        <v>7</v>
      </c>
      <c r="F13">
        <v>750</v>
      </c>
      <c r="G13" s="2">
        <v>2020</v>
      </c>
      <c r="I13" s="1" t="s">
        <v>183</v>
      </c>
      <c r="J13" s="2">
        <f t="shared" si="3"/>
        <v>750</v>
      </c>
      <c r="L13" s="1">
        <f t="shared" si="4"/>
        <v>750</v>
      </c>
      <c r="M13" t="str">
        <f t="shared" si="5"/>
        <v/>
      </c>
      <c r="N13" s="2" t="str">
        <f t="shared" si="6"/>
        <v/>
      </c>
      <c r="AB13" s="1">
        <f t="shared" si="0"/>
        <v>750</v>
      </c>
      <c r="AC13" t="e">
        <f t="shared" si="1"/>
        <v>#N/A</v>
      </c>
      <c r="AD13" s="2" t="e">
        <f t="shared" si="2"/>
        <v>#N/A</v>
      </c>
    </row>
    <row r="14" spans="1:30" x14ac:dyDescent="0.3">
      <c r="E14" t="s">
        <v>8</v>
      </c>
      <c r="F14">
        <v>1160</v>
      </c>
      <c r="G14" s="2">
        <v>2020</v>
      </c>
      <c r="I14" s="1" t="s">
        <v>183</v>
      </c>
      <c r="J14" s="2">
        <f t="shared" si="3"/>
        <v>1160</v>
      </c>
      <c r="L14" s="1">
        <f t="shared" si="4"/>
        <v>1160</v>
      </c>
      <c r="M14" t="str">
        <f t="shared" si="5"/>
        <v/>
      </c>
      <c r="N14" s="2" t="str">
        <f t="shared" si="6"/>
        <v/>
      </c>
      <c r="AB14" s="1">
        <f t="shared" si="0"/>
        <v>1160</v>
      </c>
      <c r="AC14" t="e">
        <f t="shared" si="1"/>
        <v>#N/A</v>
      </c>
      <c r="AD14" s="2" t="e">
        <f t="shared" si="2"/>
        <v>#N/A</v>
      </c>
    </row>
    <row r="15" spans="1:30" x14ac:dyDescent="0.3">
      <c r="C15" t="s">
        <v>57</v>
      </c>
      <c r="E15" t="s">
        <v>7</v>
      </c>
      <c r="F15">
        <v>225</v>
      </c>
      <c r="G15" s="2">
        <v>2030</v>
      </c>
      <c r="I15" s="1" t="s">
        <v>183</v>
      </c>
      <c r="J15" s="2">
        <f t="shared" si="3"/>
        <v>225</v>
      </c>
      <c r="L15" s="1" t="str">
        <f t="shared" si="4"/>
        <v/>
      </c>
      <c r="M15">
        <f t="shared" si="5"/>
        <v>225</v>
      </c>
      <c r="N15" s="2" t="str">
        <f t="shared" si="6"/>
        <v/>
      </c>
      <c r="AB15" s="1" t="e">
        <f t="shared" si="0"/>
        <v>#N/A</v>
      </c>
      <c r="AC15">
        <f t="shared" si="1"/>
        <v>225</v>
      </c>
      <c r="AD15" s="2" t="e">
        <f t="shared" si="2"/>
        <v>#N/A</v>
      </c>
    </row>
    <row r="16" spans="1:30" x14ac:dyDescent="0.3">
      <c r="E16" t="s">
        <v>8</v>
      </c>
      <c r="F16">
        <v>460</v>
      </c>
      <c r="G16" s="2">
        <v>2030</v>
      </c>
      <c r="I16" s="1" t="s">
        <v>183</v>
      </c>
      <c r="J16" s="2">
        <f t="shared" si="3"/>
        <v>460</v>
      </c>
      <c r="L16" s="1" t="str">
        <f t="shared" si="4"/>
        <v/>
      </c>
      <c r="M16">
        <f t="shared" si="5"/>
        <v>460</v>
      </c>
      <c r="N16" s="2" t="str">
        <f t="shared" si="6"/>
        <v/>
      </c>
      <c r="AB16" s="1" t="e">
        <f t="shared" si="0"/>
        <v>#N/A</v>
      </c>
      <c r="AC16">
        <f t="shared" si="1"/>
        <v>460</v>
      </c>
      <c r="AD16" s="2" t="e">
        <f t="shared" si="2"/>
        <v>#N/A</v>
      </c>
    </row>
    <row r="17" spans="1:30" x14ac:dyDescent="0.3">
      <c r="C17" t="s">
        <v>58</v>
      </c>
      <c r="E17" t="s">
        <v>7</v>
      </c>
      <c r="F17">
        <v>180</v>
      </c>
      <c r="G17" s="2">
        <v>2040</v>
      </c>
      <c r="I17" s="1" t="s">
        <v>183</v>
      </c>
      <c r="J17" s="2">
        <f t="shared" si="3"/>
        <v>180</v>
      </c>
      <c r="L17" s="1" t="str">
        <f t="shared" si="4"/>
        <v/>
      </c>
      <c r="M17" t="str">
        <f t="shared" si="5"/>
        <v/>
      </c>
      <c r="N17" s="2">
        <f t="shared" si="6"/>
        <v>180</v>
      </c>
      <c r="AB17" s="1" t="e">
        <f t="shared" si="0"/>
        <v>#N/A</v>
      </c>
      <c r="AC17" t="e">
        <f t="shared" si="1"/>
        <v>#N/A</v>
      </c>
      <c r="AD17" s="2">
        <f t="shared" si="2"/>
        <v>180</v>
      </c>
    </row>
    <row r="18" spans="1:30" x14ac:dyDescent="0.3">
      <c r="E18" t="s">
        <v>8</v>
      </c>
      <c r="F18">
        <v>350</v>
      </c>
      <c r="G18" s="2">
        <v>2040</v>
      </c>
      <c r="I18" s="1" t="s">
        <v>183</v>
      </c>
      <c r="J18" s="2">
        <f t="shared" si="3"/>
        <v>350</v>
      </c>
      <c r="L18" s="1" t="str">
        <f t="shared" si="4"/>
        <v/>
      </c>
      <c r="M18" t="str">
        <f t="shared" si="5"/>
        <v/>
      </c>
      <c r="N18" s="2">
        <f t="shared" si="6"/>
        <v>350</v>
      </c>
      <c r="AB18" s="1" t="e">
        <f t="shared" si="0"/>
        <v>#N/A</v>
      </c>
      <c r="AC18" t="e">
        <f t="shared" si="1"/>
        <v>#N/A</v>
      </c>
      <c r="AD18" s="2">
        <f t="shared" si="2"/>
        <v>350</v>
      </c>
    </row>
    <row r="19" spans="1:30" x14ac:dyDescent="0.3">
      <c r="A19" t="s">
        <v>59</v>
      </c>
      <c r="B19" t="s">
        <v>60</v>
      </c>
      <c r="C19" t="s">
        <v>61</v>
      </c>
      <c r="E19" t="s">
        <v>7</v>
      </c>
      <c r="F19">
        <v>500</v>
      </c>
      <c r="G19" s="2">
        <v>2020</v>
      </c>
      <c r="I19" s="1" t="s">
        <v>183</v>
      </c>
      <c r="J19" s="2">
        <f t="shared" si="3"/>
        <v>500</v>
      </c>
      <c r="L19" s="1">
        <f t="shared" si="4"/>
        <v>500</v>
      </c>
      <c r="M19" t="str">
        <f t="shared" si="5"/>
        <v/>
      </c>
      <c r="N19" s="2" t="str">
        <f t="shared" si="6"/>
        <v/>
      </c>
      <c r="AB19" s="1">
        <f t="shared" si="0"/>
        <v>500</v>
      </c>
      <c r="AC19" t="e">
        <f t="shared" si="1"/>
        <v>#N/A</v>
      </c>
      <c r="AD19" s="2" t="e">
        <f t="shared" si="2"/>
        <v>#N/A</v>
      </c>
    </row>
    <row r="20" spans="1:30" x14ac:dyDescent="0.3">
      <c r="E20" t="s">
        <v>8</v>
      </c>
      <c r="F20">
        <v>1000</v>
      </c>
      <c r="G20" s="2">
        <v>2020</v>
      </c>
      <c r="I20" s="1" t="s">
        <v>183</v>
      </c>
      <c r="J20" s="2">
        <f t="shared" si="3"/>
        <v>1000</v>
      </c>
      <c r="L20" s="1">
        <f t="shared" si="4"/>
        <v>1000</v>
      </c>
      <c r="M20" t="str">
        <f t="shared" si="5"/>
        <v/>
      </c>
      <c r="N20" s="2" t="str">
        <f t="shared" si="6"/>
        <v/>
      </c>
      <c r="AB20" s="1">
        <f t="shared" si="0"/>
        <v>1000</v>
      </c>
      <c r="AC20" t="e">
        <f t="shared" si="1"/>
        <v>#N/A</v>
      </c>
      <c r="AD20" s="2" t="e">
        <f t="shared" si="2"/>
        <v>#N/A</v>
      </c>
    </row>
    <row r="21" spans="1:30" x14ac:dyDescent="0.3">
      <c r="C21">
        <v>200</v>
      </c>
      <c r="F21">
        <v>200</v>
      </c>
      <c r="G21" s="2">
        <v>2050</v>
      </c>
      <c r="I21" s="1" t="s">
        <v>183</v>
      </c>
      <c r="J21" s="2">
        <f t="shared" si="3"/>
        <v>200</v>
      </c>
      <c r="L21" s="1" t="str">
        <f t="shared" si="4"/>
        <v/>
      </c>
      <c r="M21" t="str">
        <f t="shared" si="5"/>
        <v/>
      </c>
      <c r="N21" s="2">
        <f t="shared" si="6"/>
        <v>200</v>
      </c>
      <c r="AB21" s="1" t="e">
        <f t="shared" si="0"/>
        <v>#N/A</v>
      </c>
      <c r="AC21" t="e">
        <f t="shared" si="1"/>
        <v>#N/A</v>
      </c>
      <c r="AD21" s="2">
        <f t="shared" si="2"/>
        <v>200</v>
      </c>
    </row>
    <row r="22" spans="1:30" x14ac:dyDescent="0.3">
      <c r="A22" t="s">
        <v>62</v>
      </c>
      <c r="B22" t="s">
        <v>63</v>
      </c>
      <c r="C22" t="s">
        <v>64</v>
      </c>
      <c r="E22" t="s">
        <v>7</v>
      </c>
      <c r="F22">
        <v>700</v>
      </c>
      <c r="G22" s="2">
        <v>2030</v>
      </c>
      <c r="I22" s="1" t="s">
        <v>183</v>
      </c>
      <c r="J22" s="2">
        <f t="shared" si="3"/>
        <v>700</v>
      </c>
      <c r="L22" s="1" t="str">
        <f t="shared" si="4"/>
        <v/>
      </c>
      <c r="M22">
        <f t="shared" si="5"/>
        <v>700</v>
      </c>
      <c r="N22" s="2" t="str">
        <f t="shared" si="6"/>
        <v/>
      </c>
      <c r="AB22" s="1" t="e">
        <f t="shared" si="0"/>
        <v>#N/A</v>
      </c>
      <c r="AC22">
        <f t="shared" si="1"/>
        <v>700</v>
      </c>
      <c r="AD22" s="2" t="e">
        <f t="shared" si="2"/>
        <v>#N/A</v>
      </c>
    </row>
    <row r="23" spans="1:30" x14ac:dyDescent="0.3">
      <c r="E23" t="s">
        <v>8</v>
      </c>
      <c r="F23">
        <v>1000</v>
      </c>
      <c r="G23" s="2">
        <v>2030</v>
      </c>
      <c r="I23" s="1" t="s">
        <v>183</v>
      </c>
      <c r="J23" s="2">
        <f t="shared" si="3"/>
        <v>1000</v>
      </c>
      <c r="L23" s="1" t="str">
        <f t="shared" si="4"/>
        <v/>
      </c>
      <c r="M23">
        <f t="shared" si="5"/>
        <v>1000</v>
      </c>
      <c r="N23" s="2" t="str">
        <f t="shared" si="6"/>
        <v/>
      </c>
      <c r="AB23" s="1" t="e">
        <f t="shared" si="0"/>
        <v>#N/A</v>
      </c>
      <c r="AC23">
        <f t="shared" si="1"/>
        <v>1000</v>
      </c>
      <c r="AD23" s="2" t="e">
        <f t="shared" si="2"/>
        <v>#N/A</v>
      </c>
    </row>
    <row r="24" spans="1:30" x14ac:dyDescent="0.3">
      <c r="A24" t="s">
        <v>65</v>
      </c>
      <c r="B24" t="s">
        <v>66</v>
      </c>
      <c r="C24" t="s">
        <v>67</v>
      </c>
      <c r="E24" t="s">
        <v>7</v>
      </c>
      <c r="F24">
        <v>500</v>
      </c>
      <c r="G24" s="2">
        <v>2018</v>
      </c>
      <c r="I24" s="1" t="s">
        <v>183</v>
      </c>
      <c r="J24" s="2">
        <f t="shared" si="3"/>
        <v>500</v>
      </c>
      <c r="L24" s="1">
        <f t="shared" si="4"/>
        <v>500</v>
      </c>
      <c r="M24" t="str">
        <f t="shared" si="5"/>
        <v/>
      </c>
      <c r="N24" s="2" t="str">
        <f t="shared" si="6"/>
        <v/>
      </c>
      <c r="AB24" s="1">
        <f t="shared" si="0"/>
        <v>500</v>
      </c>
      <c r="AC24" t="e">
        <f t="shared" si="1"/>
        <v>#N/A</v>
      </c>
      <c r="AD24" s="2" t="e">
        <f t="shared" si="2"/>
        <v>#N/A</v>
      </c>
    </row>
    <row r="25" spans="1:30" x14ac:dyDescent="0.3">
      <c r="E25" t="s">
        <v>8</v>
      </c>
      <c r="F25">
        <v>700</v>
      </c>
      <c r="G25" s="2">
        <v>2018</v>
      </c>
      <c r="I25" s="1" t="s">
        <v>183</v>
      </c>
      <c r="J25" s="2">
        <f t="shared" si="3"/>
        <v>700</v>
      </c>
      <c r="L25" s="1">
        <f t="shared" si="4"/>
        <v>700</v>
      </c>
      <c r="M25" t="str">
        <f t="shared" si="5"/>
        <v/>
      </c>
      <c r="N25" s="2" t="str">
        <f t="shared" si="6"/>
        <v/>
      </c>
      <c r="AB25" s="1">
        <f t="shared" si="0"/>
        <v>700</v>
      </c>
      <c r="AC25" t="e">
        <f t="shared" si="1"/>
        <v>#N/A</v>
      </c>
      <c r="AD25" s="2" t="e">
        <f t="shared" si="2"/>
        <v>#N/A</v>
      </c>
    </row>
    <row r="26" spans="1:30" x14ac:dyDescent="0.3">
      <c r="C26" t="s">
        <v>68</v>
      </c>
      <c r="E26" t="s">
        <v>7</v>
      </c>
      <c r="F26">
        <v>400</v>
      </c>
      <c r="G26" s="2">
        <v>2030</v>
      </c>
      <c r="I26" s="1" t="s">
        <v>183</v>
      </c>
      <c r="J26" s="2">
        <f t="shared" si="3"/>
        <v>400</v>
      </c>
      <c r="L26" s="1" t="str">
        <f t="shared" si="4"/>
        <v/>
      </c>
      <c r="M26">
        <f t="shared" si="5"/>
        <v>400</v>
      </c>
      <c r="N26" s="2" t="str">
        <f t="shared" si="6"/>
        <v/>
      </c>
      <c r="AB26" s="1" t="e">
        <f t="shared" si="0"/>
        <v>#N/A</v>
      </c>
      <c r="AC26">
        <f t="shared" si="1"/>
        <v>400</v>
      </c>
      <c r="AD26" s="2" t="e">
        <f t="shared" si="2"/>
        <v>#N/A</v>
      </c>
    </row>
    <row r="27" spans="1:30" x14ac:dyDescent="0.3">
      <c r="E27" t="s">
        <v>8</v>
      </c>
      <c r="F27">
        <v>500</v>
      </c>
      <c r="G27" s="2">
        <v>2030</v>
      </c>
      <c r="I27" s="1" t="s">
        <v>183</v>
      </c>
      <c r="J27" s="2">
        <f t="shared" si="3"/>
        <v>500</v>
      </c>
      <c r="L27" s="1" t="str">
        <f t="shared" si="4"/>
        <v/>
      </c>
      <c r="M27">
        <f t="shared" si="5"/>
        <v>500</v>
      </c>
      <c r="N27" s="2" t="str">
        <f t="shared" si="6"/>
        <v/>
      </c>
      <c r="AB27" s="1" t="e">
        <f t="shared" si="0"/>
        <v>#N/A</v>
      </c>
      <c r="AC27">
        <f t="shared" si="1"/>
        <v>500</v>
      </c>
      <c r="AD27" s="2" t="e">
        <f t="shared" si="2"/>
        <v>#N/A</v>
      </c>
    </row>
    <row r="28" spans="1:30" x14ac:dyDescent="0.3">
      <c r="A28" t="s">
        <v>69</v>
      </c>
      <c r="B28" t="s">
        <v>70</v>
      </c>
      <c r="C28">
        <v>840</v>
      </c>
      <c r="F28">
        <v>840</v>
      </c>
      <c r="G28" s="2">
        <v>2019</v>
      </c>
      <c r="I28" s="1" t="s">
        <v>183</v>
      </c>
      <c r="J28" s="2">
        <f t="shared" si="3"/>
        <v>840</v>
      </c>
      <c r="L28" s="1">
        <f t="shared" si="4"/>
        <v>840</v>
      </c>
      <c r="M28" t="str">
        <f t="shared" si="5"/>
        <v/>
      </c>
      <c r="N28" s="2" t="str">
        <f t="shared" si="6"/>
        <v/>
      </c>
      <c r="AB28" s="1">
        <f t="shared" si="0"/>
        <v>840</v>
      </c>
      <c r="AC28" t="e">
        <f t="shared" si="1"/>
        <v>#N/A</v>
      </c>
      <c r="AD28" s="2" t="e">
        <f t="shared" si="2"/>
        <v>#N/A</v>
      </c>
    </row>
    <row r="29" spans="1:30" x14ac:dyDescent="0.3">
      <c r="C29">
        <v>200</v>
      </c>
      <c r="F29">
        <v>200</v>
      </c>
      <c r="G29" s="2">
        <v>2050</v>
      </c>
      <c r="I29" s="1" t="s">
        <v>183</v>
      </c>
      <c r="J29" s="2">
        <f t="shared" si="3"/>
        <v>200</v>
      </c>
      <c r="L29" s="1" t="str">
        <f t="shared" si="4"/>
        <v/>
      </c>
      <c r="M29" t="str">
        <f t="shared" si="5"/>
        <v/>
      </c>
      <c r="N29" s="2">
        <f>IF(G29&gt;2039,J29,"")</f>
        <v>200</v>
      </c>
      <c r="AB29" s="1" t="e">
        <f t="shared" si="0"/>
        <v>#N/A</v>
      </c>
      <c r="AC29" t="e">
        <f t="shared" si="1"/>
        <v>#N/A</v>
      </c>
      <c r="AD29" s="2">
        <f t="shared" si="2"/>
        <v>200</v>
      </c>
    </row>
    <row r="30" spans="1:30" x14ac:dyDescent="0.3">
      <c r="A30" t="s">
        <v>71</v>
      </c>
      <c r="B30" t="s">
        <v>72</v>
      </c>
      <c r="C30">
        <v>650</v>
      </c>
      <c r="F30">
        <v>650</v>
      </c>
      <c r="G30" s="2">
        <v>2030</v>
      </c>
      <c r="I30" s="1" t="s">
        <v>183</v>
      </c>
      <c r="J30" s="2">
        <f t="shared" si="3"/>
        <v>650</v>
      </c>
      <c r="L30" s="1" t="str">
        <f t="shared" si="4"/>
        <v/>
      </c>
      <c r="M30">
        <f t="shared" si="5"/>
        <v>650</v>
      </c>
      <c r="N30" s="2" t="str">
        <f t="shared" si="6"/>
        <v/>
      </c>
      <c r="AB30" s="1" t="e">
        <f t="shared" si="0"/>
        <v>#N/A</v>
      </c>
      <c r="AC30">
        <f t="shared" si="1"/>
        <v>650</v>
      </c>
      <c r="AD30" s="2" t="e">
        <f t="shared" si="2"/>
        <v>#N/A</v>
      </c>
    </row>
    <row r="31" spans="1:30" x14ac:dyDescent="0.3">
      <c r="A31" t="s">
        <v>73</v>
      </c>
      <c r="B31" t="s">
        <v>74</v>
      </c>
      <c r="C31">
        <v>1320</v>
      </c>
      <c r="F31">
        <v>1320</v>
      </c>
      <c r="G31" s="2">
        <v>2021</v>
      </c>
      <c r="I31" s="1" t="s">
        <v>183</v>
      </c>
      <c r="J31" s="2">
        <f t="shared" si="3"/>
        <v>1320</v>
      </c>
      <c r="L31" s="1">
        <f t="shared" si="4"/>
        <v>1320</v>
      </c>
      <c r="M31" t="str">
        <f t="shared" si="5"/>
        <v/>
      </c>
      <c r="N31" s="2" t="str">
        <f t="shared" si="6"/>
        <v/>
      </c>
      <c r="AB31" s="1">
        <f t="shared" si="0"/>
        <v>1320</v>
      </c>
      <c r="AC31" t="e">
        <f t="shared" si="1"/>
        <v>#N/A</v>
      </c>
      <c r="AD31" s="2" t="e">
        <f t="shared" si="2"/>
        <v>#N/A</v>
      </c>
    </row>
    <row r="32" spans="1:30" x14ac:dyDescent="0.3">
      <c r="C32">
        <v>425</v>
      </c>
      <c r="F32">
        <v>425</v>
      </c>
      <c r="G32" s="2">
        <v>2030</v>
      </c>
      <c r="I32" s="1" t="s">
        <v>183</v>
      </c>
      <c r="J32" s="2">
        <f t="shared" si="3"/>
        <v>425</v>
      </c>
      <c r="L32" s="1" t="str">
        <f t="shared" si="4"/>
        <v/>
      </c>
      <c r="M32">
        <f t="shared" si="5"/>
        <v>425</v>
      </c>
      <c r="N32" s="2" t="str">
        <f t="shared" si="6"/>
        <v/>
      </c>
      <c r="AB32" s="1" t="e">
        <f t="shared" si="0"/>
        <v>#N/A</v>
      </c>
      <c r="AC32">
        <f t="shared" si="1"/>
        <v>425</v>
      </c>
      <c r="AD32" s="2" t="e">
        <f t="shared" si="2"/>
        <v>#N/A</v>
      </c>
    </row>
    <row r="33" spans="1:30" x14ac:dyDescent="0.3">
      <c r="A33" t="s">
        <v>75</v>
      </c>
      <c r="B33" t="s">
        <v>76</v>
      </c>
      <c r="C33">
        <v>1100</v>
      </c>
      <c r="F33">
        <v>1100</v>
      </c>
      <c r="G33" s="2">
        <v>2019</v>
      </c>
      <c r="I33" s="1" t="s">
        <v>183</v>
      </c>
      <c r="J33" s="2">
        <f t="shared" si="3"/>
        <v>1100</v>
      </c>
      <c r="L33" s="1">
        <f t="shared" si="4"/>
        <v>1100</v>
      </c>
      <c r="M33" t="str">
        <f t="shared" si="5"/>
        <v/>
      </c>
      <c r="N33" s="2" t="str">
        <f t="shared" si="6"/>
        <v/>
      </c>
      <c r="AB33" s="1">
        <f t="shared" si="0"/>
        <v>1100</v>
      </c>
      <c r="AC33" t="e">
        <f t="shared" si="1"/>
        <v>#N/A</v>
      </c>
      <c r="AD33" s="2" t="e">
        <f t="shared" si="2"/>
        <v>#N/A</v>
      </c>
    </row>
    <row r="34" spans="1:30" x14ac:dyDescent="0.3">
      <c r="C34">
        <v>620</v>
      </c>
      <c r="F34">
        <v>620</v>
      </c>
      <c r="G34" s="2">
        <v>2030</v>
      </c>
      <c r="I34" s="1" t="s">
        <v>183</v>
      </c>
      <c r="J34" s="2">
        <f t="shared" si="3"/>
        <v>620</v>
      </c>
      <c r="L34" s="1" t="str">
        <f t="shared" si="4"/>
        <v/>
      </c>
      <c r="M34">
        <f t="shared" si="5"/>
        <v>620</v>
      </c>
      <c r="N34" s="2" t="str">
        <f t="shared" si="6"/>
        <v/>
      </c>
      <c r="AB34" s="1" t="e">
        <f t="shared" ref="AB34:AB65" si="7">IF(L34="",NA(),L34)</f>
        <v>#N/A</v>
      </c>
      <c r="AC34">
        <f t="shared" ref="AC34:AC65" si="8">IF(M34="",NA(),M34)</f>
        <v>620</v>
      </c>
      <c r="AD34" s="2" t="e">
        <f t="shared" ref="AD34:AD65" si="9">IF(N34="",NA(),N34)</f>
        <v>#N/A</v>
      </c>
    </row>
    <row r="35" spans="1:30" x14ac:dyDescent="0.3">
      <c r="C35">
        <v>520</v>
      </c>
      <c r="F35">
        <v>520</v>
      </c>
      <c r="G35" s="2">
        <v>2040</v>
      </c>
      <c r="I35" s="1" t="s">
        <v>183</v>
      </c>
      <c r="J35" s="2">
        <f t="shared" si="3"/>
        <v>520</v>
      </c>
      <c r="L35" s="1" t="str">
        <f t="shared" si="4"/>
        <v/>
      </c>
      <c r="M35" t="str">
        <f t="shared" si="5"/>
        <v/>
      </c>
      <c r="N35" s="2">
        <f t="shared" si="6"/>
        <v>520</v>
      </c>
      <c r="AB35" s="1" t="e">
        <f t="shared" si="7"/>
        <v>#N/A</v>
      </c>
      <c r="AC35" t="e">
        <f t="shared" si="8"/>
        <v>#N/A</v>
      </c>
      <c r="AD35" s="2">
        <f t="shared" si="9"/>
        <v>520</v>
      </c>
    </row>
    <row r="36" spans="1:30" x14ac:dyDescent="0.3">
      <c r="A36" t="s">
        <v>77</v>
      </c>
      <c r="B36" t="s">
        <v>78</v>
      </c>
      <c r="C36" t="s">
        <v>47</v>
      </c>
      <c r="E36" t="s">
        <v>7</v>
      </c>
      <c r="F36">
        <v>500</v>
      </c>
      <c r="G36" s="2">
        <v>2020</v>
      </c>
      <c r="I36" s="1" t="s">
        <v>183</v>
      </c>
      <c r="J36" s="2">
        <f t="shared" si="3"/>
        <v>500</v>
      </c>
      <c r="L36" s="1">
        <f t="shared" si="4"/>
        <v>500</v>
      </c>
      <c r="M36" t="str">
        <f t="shared" si="5"/>
        <v/>
      </c>
      <c r="N36" s="2" t="str">
        <f t="shared" si="6"/>
        <v/>
      </c>
      <c r="AB36" s="1">
        <f t="shared" si="7"/>
        <v>500</v>
      </c>
      <c r="AC36" t="e">
        <f t="shared" si="8"/>
        <v>#N/A</v>
      </c>
      <c r="AD36" s="2" t="e">
        <f t="shared" si="9"/>
        <v>#N/A</v>
      </c>
    </row>
    <row r="37" spans="1:30" x14ac:dyDescent="0.3">
      <c r="E37" t="s">
        <v>8</v>
      </c>
      <c r="F37">
        <v>1400</v>
      </c>
      <c r="G37" s="2">
        <v>2020</v>
      </c>
      <c r="I37" s="1" t="s">
        <v>183</v>
      </c>
      <c r="J37" s="2">
        <f t="shared" si="3"/>
        <v>1400</v>
      </c>
      <c r="L37" s="1">
        <f t="shared" si="4"/>
        <v>1400</v>
      </c>
      <c r="M37" t="str">
        <f t="shared" si="5"/>
        <v/>
      </c>
      <c r="N37" s="2" t="str">
        <f t="shared" si="6"/>
        <v/>
      </c>
      <c r="AB37" s="1">
        <f t="shared" si="7"/>
        <v>1400</v>
      </c>
      <c r="AC37" t="e">
        <f t="shared" si="8"/>
        <v>#N/A</v>
      </c>
      <c r="AD37" s="2" t="e">
        <f t="shared" si="9"/>
        <v>#N/A</v>
      </c>
    </row>
    <row r="38" spans="1:30" x14ac:dyDescent="0.3">
      <c r="C38" t="s">
        <v>48</v>
      </c>
      <c r="E38" t="s">
        <v>7</v>
      </c>
      <c r="F38">
        <v>400</v>
      </c>
      <c r="G38" s="2">
        <v>2030</v>
      </c>
      <c r="I38" s="1" t="s">
        <v>183</v>
      </c>
      <c r="J38" s="2">
        <f t="shared" si="3"/>
        <v>400</v>
      </c>
      <c r="L38" s="1" t="str">
        <f t="shared" si="4"/>
        <v/>
      </c>
      <c r="M38">
        <f t="shared" si="5"/>
        <v>400</v>
      </c>
      <c r="N38" s="2" t="str">
        <f t="shared" si="6"/>
        <v/>
      </c>
      <c r="AB38" s="1" t="e">
        <f t="shared" si="7"/>
        <v>#N/A</v>
      </c>
      <c r="AC38">
        <f t="shared" si="8"/>
        <v>400</v>
      </c>
      <c r="AD38" s="2" t="e">
        <f t="shared" si="9"/>
        <v>#N/A</v>
      </c>
    </row>
    <row r="39" spans="1:30" x14ac:dyDescent="0.3">
      <c r="E39" t="s">
        <v>8</v>
      </c>
      <c r="F39">
        <v>850</v>
      </c>
      <c r="G39" s="2">
        <v>2030</v>
      </c>
      <c r="I39" s="1" t="s">
        <v>183</v>
      </c>
      <c r="J39" s="2">
        <f t="shared" si="3"/>
        <v>850</v>
      </c>
      <c r="L39" s="1" t="str">
        <f t="shared" si="4"/>
        <v/>
      </c>
      <c r="M39">
        <f t="shared" si="5"/>
        <v>850</v>
      </c>
      <c r="N39" s="2" t="str">
        <f t="shared" si="6"/>
        <v/>
      </c>
      <c r="AB39" s="1" t="e">
        <f t="shared" si="7"/>
        <v>#N/A</v>
      </c>
      <c r="AC39">
        <f t="shared" si="8"/>
        <v>850</v>
      </c>
      <c r="AD39" s="2" t="e">
        <f t="shared" si="9"/>
        <v>#N/A</v>
      </c>
    </row>
    <row r="40" spans="1:30" x14ac:dyDescent="0.3">
      <c r="C40" t="s">
        <v>49</v>
      </c>
      <c r="E40" t="s">
        <v>7</v>
      </c>
      <c r="F40">
        <v>200</v>
      </c>
      <c r="G40" s="2">
        <v>2050</v>
      </c>
      <c r="I40" s="1" t="s">
        <v>183</v>
      </c>
      <c r="J40" s="2">
        <f t="shared" si="3"/>
        <v>200</v>
      </c>
      <c r="L40" s="1" t="str">
        <f t="shared" si="4"/>
        <v/>
      </c>
      <c r="M40" t="str">
        <f t="shared" si="5"/>
        <v/>
      </c>
      <c r="N40" s="2">
        <f t="shared" si="6"/>
        <v>200</v>
      </c>
      <c r="AB40" s="1" t="e">
        <f t="shared" si="7"/>
        <v>#N/A</v>
      </c>
      <c r="AC40" t="e">
        <f t="shared" si="8"/>
        <v>#N/A</v>
      </c>
      <c r="AD40" s="2">
        <f t="shared" si="9"/>
        <v>200</v>
      </c>
    </row>
    <row r="41" spans="1:30" x14ac:dyDescent="0.3">
      <c r="E41" t="s">
        <v>8</v>
      </c>
      <c r="F41">
        <v>700</v>
      </c>
      <c r="G41" s="2">
        <v>2050</v>
      </c>
      <c r="I41" s="1" t="s">
        <v>183</v>
      </c>
      <c r="J41" s="2">
        <f t="shared" si="3"/>
        <v>700</v>
      </c>
      <c r="L41" s="1" t="str">
        <f t="shared" si="4"/>
        <v/>
      </c>
      <c r="M41" t="str">
        <f t="shared" si="5"/>
        <v/>
      </c>
      <c r="N41" s="2">
        <f t="shared" si="6"/>
        <v>700</v>
      </c>
      <c r="AB41" s="1" t="e">
        <f t="shared" si="7"/>
        <v>#N/A</v>
      </c>
      <c r="AC41" t="e">
        <f t="shared" si="8"/>
        <v>#N/A</v>
      </c>
      <c r="AD41" s="2">
        <f t="shared" si="9"/>
        <v>700</v>
      </c>
    </row>
    <row r="42" spans="1:30" x14ac:dyDescent="0.3">
      <c r="A42" t="s">
        <v>79</v>
      </c>
      <c r="B42" t="s">
        <v>80</v>
      </c>
      <c r="C42" t="s">
        <v>81</v>
      </c>
      <c r="E42" t="s">
        <v>7</v>
      </c>
      <c r="F42">
        <v>419</v>
      </c>
      <c r="G42" s="2">
        <v>2020</v>
      </c>
      <c r="I42" s="1" t="s">
        <v>183</v>
      </c>
      <c r="J42" s="2">
        <f t="shared" si="3"/>
        <v>419</v>
      </c>
      <c r="L42" s="1">
        <f t="shared" si="4"/>
        <v>419</v>
      </c>
      <c r="M42" t="str">
        <f t="shared" si="5"/>
        <v/>
      </c>
      <c r="N42" s="2" t="str">
        <f t="shared" si="6"/>
        <v/>
      </c>
      <c r="AB42" s="1">
        <f t="shared" si="7"/>
        <v>419</v>
      </c>
      <c r="AC42" t="e">
        <f t="shared" si="8"/>
        <v>#N/A</v>
      </c>
      <c r="AD42" s="2" t="e">
        <f t="shared" si="9"/>
        <v>#N/A</v>
      </c>
    </row>
    <row r="43" spans="1:30" x14ac:dyDescent="0.3">
      <c r="E43" t="s">
        <v>8</v>
      </c>
      <c r="F43">
        <v>1153</v>
      </c>
      <c r="G43" s="2">
        <v>2020</v>
      </c>
      <c r="I43" s="1" t="s">
        <v>183</v>
      </c>
      <c r="J43" s="2">
        <f t="shared" si="3"/>
        <v>1153</v>
      </c>
      <c r="L43" s="1">
        <f t="shared" si="4"/>
        <v>1153</v>
      </c>
      <c r="M43" t="str">
        <f t="shared" si="5"/>
        <v/>
      </c>
      <c r="N43" s="2" t="str">
        <f t="shared" si="6"/>
        <v/>
      </c>
      <c r="AB43" s="1">
        <f t="shared" si="7"/>
        <v>1153</v>
      </c>
      <c r="AC43" t="e">
        <f t="shared" si="8"/>
        <v>#N/A</v>
      </c>
      <c r="AD43" s="2" t="e">
        <f t="shared" si="9"/>
        <v>#N/A</v>
      </c>
    </row>
    <row r="44" spans="1:30" x14ac:dyDescent="0.3">
      <c r="C44" t="s">
        <v>82</v>
      </c>
      <c r="E44" t="s">
        <v>7</v>
      </c>
      <c r="F44">
        <v>342</v>
      </c>
      <c r="G44" s="2">
        <v>2030</v>
      </c>
      <c r="I44" s="1" t="s">
        <v>183</v>
      </c>
      <c r="J44" s="2">
        <f t="shared" si="3"/>
        <v>342</v>
      </c>
      <c r="L44" s="1" t="str">
        <f t="shared" si="4"/>
        <v/>
      </c>
      <c r="M44">
        <f t="shared" si="5"/>
        <v>342</v>
      </c>
      <c r="N44" s="2" t="str">
        <f t="shared" si="6"/>
        <v/>
      </c>
      <c r="AB44" s="1" t="e">
        <f t="shared" si="7"/>
        <v>#N/A</v>
      </c>
      <c r="AC44">
        <f t="shared" si="8"/>
        <v>342</v>
      </c>
      <c r="AD44" s="2" t="e">
        <f t="shared" si="9"/>
        <v>#N/A</v>
      </c>
    </row>
    <row r="45" spans="1:30" x14ac:dyDescent="0.3">
      <c r="E45" t="s">
        <v>8</v>
      </c>
      <c r="F45">
        <v>726</v>
      </c>
      <c r="G45" s="2">
        <v>2030</v>
      </c>
      <c r="I45" s="1" t="s">
        <v>183</v>
      </c>
      <c r="J45" s="2">
        <f t="shared" si="3"/>
        <v>726</v>
      </c>
      <c r="L45" s="1" t="str">
        <f t="shared" si="4"/>
        <v/>
      </c>
      <c r="M45">
        <f t="shared" si="5"/>
        <v>726</v>
      </c>
      <c r="N45" s="2" t="str">
        <f t="shared" si="6"/>
        <v/>
      </c>
      <c r="AB45" s="1" t="e">
        <f t="shared" si="7"/>
        <v>#N/A</v>
      </c>
      <c r="AC45">
        <f t="shared" si="8"/>
        <v>726</v>
      </c>
      <c r="AD45" s="2" t="e">
        <f t="shared" si="9"/>
        <v>#N/A</v>
      </c>
    </row>
    <row r="46" spans="1:30" x14ac:dyDescent="0.3">
      <c r="C46" t="s">
        <v>83</v>
      </c>
      <c r="E46" t="s">
        <v>7</v>
      </c>
      <c r="F46">
        <v>171</v>
      </c>
      <c r="G46" s="2">
        <v>2050</v>
      </c>
      <c r="I46" s="1" t="s">
        <v>183</v>
      </c>
      <c r="J46" s="2">
        <f t="shared" si="3"/>
        <v>171</v>
      </c>
      <c r="L46" s="1" t="str">
        <f t="shared" si="4"/>
        <v/>
      </c>
      <c r="M46" t="str">
        <f t="shared" si="5"/>
        <v/>
      </c>
      <c r="N46" s="2">
        <f t="shared" si="6"/>
        <v>171</v>
      </c>
      <c r="AB46" s="1" t="e">
        <f t="shared" si="7"/>
        <v>#N/A</v>
      </c>
      <c r="AC46" t="e">
        <f t="shared" si="8"/>
        <v>#N/A</v>
      </c>
      <c r="AD46" s="2">
        <f t="shared" si="9"/>
        <v>171</v>
      </c>
    </row>
    <row r="47" spans="1:30" x14ac:dyDescent="0.3">
      <c r="E47" t="s">
        <v>8</v>
      </c>
      <c r="F47">
        <v>589</v>
      </c>
      <c r="G47" s="2">
        <v>2050</v>
      </c>
      <c r="I47" s="1" t="s">
        <v>183</v>
      </c>
      <c r="J47" s="2">
        <f t="shared" si="3"/>
        <v>589</v>
      </c>
      <c r="L47" s="1" t="str">
        <f t="shared" si="4"/>
        <v/>
      </c>
      <c r="M47" t="str">
        <f t="shared" si="5"/>
        <v/>
      </c>
      <c r="N47" s="2">
        <f t="shared" si="6"/>
        <v>589</v>
      </c>
      <c r="AB47" s="1" t="e">
        <f t="shared" si="7"/>
        <v>#N/A</v>
      </c>
      <c r="AC47" t="e">
        <f t="shared" si="8"/>
        <v>#N/A</v>
      </c>
      <c r="AD47" s="2">
        <f t="shared" si="9"/>
        <v>589</v>
      </c>
    </row>
    <row r="48" spans="1:30" x14ac:dyDescent="0.3">
      <c r="N48" s="2" t="str">
        <f t="shared" si="6"/>
        <v/>
      </c>
      <c r="AB48" s="1" t="e">
        <f t="shared" si="7"/>
        <v>#N/A</v>
      </c>
      <c r="AC48" t="e">
        <f t="shared" si="8"/>
        <v>#N/A</v>
      </c>
      <c r="AD48" s="2" t="e">
        <f t="shared" si="9"/>
        <v>#N/A</v>
      </c>
    </row>
    <row r="49" spans="13:30" x14ac:dyDescent="0.3">
      <c r="N49" s="2" t="str">
        <f t="shared" si="6"/>
        <v/>
      </c>
      <c r="AB49" s="1" t="e">
        <f t="shared" si="7"/>
        <v>#N/A</v>
      </c>
      <c r="AC49" t="e">
        <f t="shared" si="8"/>
        <v>#N/A</v>
      </c>
      <c r="AD49" s="2" t="e">
        <f t="shared" si="9"/>
        <v>#N/A</v>
      </c>
    </row>
    <row r="50" spans="13:30" x14ac:dyDescent="0.3">
      <c r="N50" s="2" t="str">
        <f t="shared" si="6"/>
        <v/>
      </c>
      <c r="AB50" s="1" t="e">
        <f t="shared" si="7"/>
        <v>#N/A</v>
      </c>
      <c r="AC50" t="e">
        <f t="shared" si="8"/>
        <v>#N/A</v>
      </c>
      <c r="AD50" s="2" t="e">
        <f t="shared" si="9"/>
        <v>#N/A</v>
      </c>
    </row>
    <row r="51" spans="13:30" x14ac:dyDescent="0.3">
      <c r="N51" s="2" t="str">
        <f t="shared" si="6"/>
        <v/>
      </c>
      <c r="AB51" s="1" t="e">
        <f t="shared" si="7"/>
        <v>#N/A</v>
      </c>
      <c r="AC51" t="e">
        <f t="shared" si="8"/>
        <v>#N/A</v>
      </c>
      <c r="AD51" s="2" t="e">
        <f t="shared" si="9"/>
        <v>#N/A</v>
      </c>
    </row>
    <row r="52" spans="13:30" x14ac:dyDescent="0.3">
      <c r="N52" s="2" t="str">
        <f t="shared" si="6"/>
        <v/>
      </c>
      <c r="AB52" s="1" t="e">
        <f t="shared" si="7"/>
        <v>#N/A</v>
      </c>
      <c r="AC52" t="e">
        <f t="shared" si="8"/>
        <v>#N/A</v>
      </c>
      <c r="AD52" s="2" t="e">
        <f t="shared" si="9"/>
        <v>#N/A</v>
      </c>
    </row>
    <row r="53" spans="13:30" x14ac:dyDescent="0.3">
      <c r="N53" s="2" t="str">
        <f t="shared" si="6"/>
        <v/>
      </c>
      <c r="AB53" s="1" t="e">
        <f t="shared" si="7"/>
        <v>#N/A</v>
      </c>
      <c r="AC53" t="e">
        <f t="shared" si="8"/>
        <v>#N/A</v>
      </c>
      <c r="AD53" s="2" t="e">
        <f t="shared" si="9"/>
        <v>#N/A</v>
      </c>
    </row>
    <row r="54" spans="13:30" x14ac:dyDescent="0.3">
      <c r="M54" t="str">
        <f t="shared" ref="M54:M85" si="10">IF(G54=2030,F54,"")</f>
        <v/>
      </c>
      <c r="N54" s="2" t="str">
        <f t="shared" si="6"/>
        <v/>
      </c>
      <c r="AB54" s="1" t="e">
        <f t="shared" si="7"/>
        <v>#N/A</v>
      </c>
      <c r="AC54" t="e">
        <f t="shared" si="8"/>
        <v>#N/A</v>
      </c>
      <c r="AD54" s="2" t="e">
        <f t="shared" si="9"/>
        <v>#N/A</v>
      </c>
    </row>
    <row r="55" spans="13:30" x14ac:dyDescent="0.3">
      <c r="M55" t="str">
        <f t="shared" si="10"/>
        <v/>
      </c>
      <c r="N55" s="2" t="str">
        <f t="shared" si="6"/>
        <v/>
      </c>
      <c r="AB55" s="1" t="e">
        <f t="shared" si="7"/>
        <v>#N/A</v>
      </c>
      <c r="AC55" t="e">
        <f t="shared" si="8"/>
        <v>#N/A</v>
      </c>
      <c r="AD55" s="2" t="e">
        <f t="shared" si="9"/>
        <v>#N/A</v>
      </c>
    </row>
    <row r="56" spans="13:30" x14ac:dyDescent="0.3">
      <c r="M56" t="str">
        <f t="shared" si="10"/>
        <v/>
      </c>
      <c r="N56" s="2" t="str">
        <f t="shared" si="6"/>
        <v/>
      </c>
      <c r="AB56" s="1" t="e">
        <f t="shared" si="7"/>
        <v>#N/A</v>
      </c>
      <c r="AC56" t="e">
        <f t="shared" si="8"/>
        <v>#N/A</v>
      </c>
      <c r="AD56" s="2" t="e">
        <f t="shared" si="9"/>
        <v>#N/A</v>
      </c>
    </row>
    <row r="57" spans="13:30" x14ac:dyDescent="0.3">
      <c r="M57" t="str">
        <f t="shared" si="10"/>
        <v/>
      </c>
      <c r="N57" s="2" t="str">
        <f t="shared" si="6"/>
        <v/>
      </c>
      <c r="AB57" s="1" t="e">
        <f t="shared" si="7"/>
        <v>#N/A</v>
      </c>
      <c r="AC57" t="e">
        <f t="shared" si="8"/>
        <v>#N/A</v>
      </c>
      <c r="AD57" s="2" t="e">
        <f t="shared" si="9"/>
        <v>#N/A</v>
      </c>
    </row>
    <row r="58" spans="13:30" x14ac:dyDescent="0.3">
      <c r="M58" t="str">
        <f t="shared" si="10"/>
        <v/>
      </c>
      <c r="N58" s="2" t="str">
        <f t="shared" si="6"/>
        <v/>
      </c>
      <c r="AB58" s="1" t="e">
        <f t="shared" si="7"/>
        <v>#N/A</v>
      </c>
      <c r="AC58" t="e">
        <f t="shared" si="8"/>
        <v>#N/A</v>
      </c>
      <c r="AD58" s="2" t="e">
        <f t="shared" si="9"/>
        <v>#N/A</v>
      </c>
    </row>
    <row r="59" spans="13:30" x14ac:dyDescent="0.3">
      <c r="M59" t="str">
        <f t="shared" si="10"/>
        <v/>
      </c>
      <c r="N59" s="2" t="str">
        <f t="shared" si="6"/>
        <v/>
      </c>
      <c r="AB59" s="1" t="e">
        <f t="shared" si="7"/>
        <v>#N/A</v>
      </c>
      <c r="AC59" t="e">
        <f t="shared" si="8"/>
        <v>#N/A</v>
      </c>
      <c r="AD59" s="2" t="e">
        <f t="shared" si="9"/>
        <v>#N/A</v>
      </c>
    </row>
    <row r="60" spans="13:30" x14ac:dyDescent="0.3">
      <c r="M60" t="str">
        <f t="shared" si="10"/>
        <v/>
      </c>
      <c r="N60" s="2" t="str">
        <f t="shared" si="6"/>
        <v/>
      </c>
      <c r="AB60" s="1" t="e">
        <f t="shared" si="7"/>
        <v>#N/A</v>
      </c>
      <c r="AC60" t="e">
        <f t="shared" si="8"/>
        <v>#N/A</v>
      </c>
      <c r="AD60" s="2" t="e">
        <f t="shared" si="9"/>
        <v>#N/A</v>
      </c>
    </row>
    <row r="61" spans="13:30" x14ac:dyDescent="0.3">
      <c r="M61" t="str">
        <f t="shared" si="10"/>
        <v/>
      </c>
      <c r="N61" s="2" t="str">
        <f t="shared" si="6"/>
        <v/>
      </c>
      <c r="AB61" s="1" t="e">
        <f t="shared" si="7"/>
        <v>#N/A</v>
      </c>
      <c r="AC61" t="e">
        <f t="shared" si="8"/>
        <v>#N/A</v>
      </c>
      <c r="AD61" s="2" t="e">
        <f t="shared" si="9"/>
        <v>#N/A</v>
      </c>
    </row>
    <row r="62" spans="13:30" x14ac:dyDescent="0.3">
      <c r="M62" t="str">
        <f t="shared" si="10"/>
        <v/>
      </c>
      <c r="N62" s="2" t="str">
        <f t="shared" si="6"/>
        <v/>
      </c>
      <c r="AB62" s="1" t="e">
        <f t="shared" si="7"/>
        <v>#N/A</v>
      </c>
      <c r="AC62" t="e">
        <f t="shared" si="8"/>
        <v>#N/A</v>
      </c>
      <c r="AD62" s="2" t="e">
        <f t="shared" si="9"/>
        <v>#N/A</v>
      </c>
    </row>
    <row r="63" spans="13:30" x14ac:dyDescent="0.3">
      <c r="M63" t="str">
        <f t="shared" si="10"/>
        <v/>
      </c>
      <c r="N63" s="2" t="str">
        <f t="shared" si="6"/>
        <v/>
      </c>
      <c r="AB63" s="1" t="e">
        <f t="shared" si="7"/>
        <v>#N/A</v>
      </c>
      <c r="AC63" t="e">
        <f t="shared" si="8"/>
        <v>#N/A</v>
      </c>
      <c r="AD63" s="2" t="e">
        <f t="shared" si="9"/>
        <v>#N/A</v>
      </c>
    </row>
    <row r="64" spans="13:30" x14ac:dyDescent="0.3">
      <c r="M64" t="str">
        <f t="shared" si="10"/>
        <v/>
      </c>
      <c r="N64" s="2" t="str">
        <f t="shared" si="6"/>
        <v/>
      </c>
      <c r="AB64" s="1" t="e">
        <f t="shared" si="7"/>
        <v>#N/A</v>
      </c>
      <c r="AC64" t="e">
        <f t="shared" si="8"/>
        <v>#N/A</v>
      </c>
      <c r="AD64" s="2" t="e">
        <f t="shared" si="9"/>
        <v>#N/A</v>
      </c>
    </row>
    <row r="65" spans="13:30" x14ac:dyDescent="0.3">
      <c r="M65" t="str">
        <f t="shared" si="10"/>
        <v/>
      </c>
      <c r="N65" s="2" t="str">
        <f t="shared" si="6"/>
        <v/>
      </c>
      <c r="AB65" s="1" t="e">
        <f t="shared" si="7"/>
        <v>#N/A</v>
      </c>
      <c r="AC65" t="e">
        <f t="shared" si="8"/>
        <v>#N/A</v>
      </c>
      <c r="AD65" s="2" t="e">
        <f t="shared" si="9"/>
        <v>#N/A</v>
      </c>
    </row>
    <row r="66" spans="13:30" x14ac:dyDescent="0.3">
      <c r="M66" t="str">
        <f t="shared" si="10"/>
        <v/>
      </c>
      <c r="N66" s="2" t="str">
        <f t="shared" si="6"/>
        <v/>
      </c>
      <c r="AB66" s="1" t="e">
        <f t="shared" ref="AB66:AB97" si="11">IF(L66="",NA(),L66)</f>
        <v>#N/A</v>
      </c>
      <c r="AC66" t="e">
        <f t="shared" ref="AC66:AC97" si="12">IF(M66="",NA(),M66)</f>
        <v>#N/A</v>
      </c>
      <c r="AD66" s="2" t="e">
        <f t="shared" ref="AD66:AD97" si="13">IF(N66="",NA(),N66)</f>
        <v>#N/A</v>
      </c>
    </row>
    <row r="67" spans="13:30" x14ac:dyDescent="0.3">
      <c r="M67" t="str">
        <f t="shared" si="10"/>
        <v/>
      </c>
      <c r="N67" s="2" t="str">
        <f t="shared" ref="N67:N99" si="14">IF(G67&gt;2039,J67,"")</f>
        <v/>
      </c>
      <c r="AB67" s="1" t="e">
        <f t="shared" si="11"/>
        <v>#N/A</v>
      </c>
      <c r="AC67" t="e">
        <f t="shared" si="12"/>
        <v>#N/A</v>
      </c>
      <c r="AD67" s="2" t="e">
        <f t="shared" si="13"/>
        <v>#N/A</v>
      </c>
    </row>
    <row r="68" spans="13:30" x14ac:dyDescent="0.3">
      <c r="M68" t="str">
        <f t="shared" si="10"/>
        <v/>
      </c>
      <c r="N68" s="2" t="str">
        <f t="shared" si="14"/>
        <v/>
      </c>
      <c r="AB68" s="1" t="e">
        <f t="shared" si="11"/>
        <v>#N/A</v>
      </c>
      <c r="AC68" t="e">
        <f t="shared" si="12"/>
        <v>#N/A</v>
      </c>
      <c r="AD68" s="2" t="e">
        <f t="shared" si="13"/>
        <v>#N/A</v>
      </c>
    </row>
    <row r="69" spans="13:30" x14ac:dyDescent="0.3">
      <c r="M69" t="str">
        <f t="shared" si="10"/>
        <v/>
      </c>
      <c r="N69" s="2" t="str">
        <f t="shared" si="14"/>
        <v/>
      </c>
      <c r="AB69" s="1" t="e">
        <f t="shared" si="11"/>
        <v>#N/A</v>
      </c>
      <c r="AC69" t="e">
        <f t="shared" si="12"/>
        <v>#N/A</v>
      </c>
      <c r="AD69" s="2" t="e">
        <f t="shared" si="13"/>
        <v>#N/A</v>
      </c>
    </row>
    <row r="70" spans="13:30" x14ac:dyDescent="0.3">
      <c r="M70" t="str">
        <f t="shared" si="10"/>
        <v/>
      </c>
      <c r="N70" s="2" t="str">
        <f t="shared" si="14"/>
        <v/>
      </c>
      <c r="AB70" s="1" t="e">
        <f t="shared" si="11"/>
        <v>#N/A</v>
      </c>
      <c r="AC70" t="e">
        <f t="shared" si="12"/>
        <v>#N/A</v>
      </c>
      <c r="AD70" s="2" t="e">
        <f t="shared" si="13"/>
        <v>#N/A</v>
      </c>
    </row>
    <row r="71" spans="13:30" x14ac:dyDescent="0.3">
      <c r="M71" t="str">
        <f t="shared" si="10"/>
        <v/>
      </c>
      <c r="N71" s="2" t="str">
        <f t="shared" si="14"/>
        <v/>
      </c>
      <c r="AB71" s="1" t="e">
        <f t="shared" si="11"/>
        <v>#N/A</v>
      </c>
      <c r="AC71" t="e">
        <f t="shared" si="12"/>
        <v>#N/A</v>
      </c>
      <c r="AD71" s="2" t="e">
        <f t="shared" si="13"/>
        <v>#N/A</v>
      </c>
    </row>
    <row r="72" spans="13:30" x14ac:dyDescent="0.3">
      <c r="M72" t="str">
        <f t="shared" si="10"/>
        <v/>
      </c>
      <c r="N72" s="2" t="str">
        <f t="shared" si="14"/>
        <v/>
      </c>
      <c r="AB72" s="1" t="e">
        <f t="shared" si="11"/>
        <v>#N/A</v>
      </c>
      <c r="AC72" t="e">
        <f t="shared" si="12"/>
        <v>#N/A</v>
      </c>
      <c r="AD72" s="2" t="e">
        <f t="shared" si="13"/>
        <v>#N/A</v>
      </c>
    </row>
    <row r="73" spans="13:30" x14ac:dyDescent="0.3">
      <c r="M73" t="str">
        <f t="shared" si="10"/>
        <v/>
      </c>
      <c r="N73" s="2" t="str">
        <f t="shared" si="14"/>
        <v/>
      </c>
      <c r="AB73" s="1" t="e">
        <f t="shared" si="11"/>
        <v>#N/A</v>
      </c>
      <c r="AC73" t="e">
        <f t="shared" si="12"/>
        <v>#N/A</v>
      </c>
      <c r="AD73" s="2" t="e">
        <f t="shared" si="13"/>
        <v>#N/A</v>
      </c>
    </row>
    <row r="74" spans="13:30" x14ac:dyDescent="0.3">
      <c r="M74" t="str">
        <f t="shared" si="10"/>
        <v/>
      </c>
      <c r="N74" s="2" t="str">
        <f t="shared" si="14"/>
        <v/>
      </c>
      <c r="AB74" s="1" t="e">
        <f t="shared" si="11"/>
        <v>#N/A</v>
      </c>
      <c r="AC74" t="e">
        <f t="shared" si="12"/>
        <v>#N/A</v>
      </c>
      <c r="AD74" s="2" t="e">
        <f t="shared" si="13"/>
        <v>#N/A</v>
      </c>
    </row>
    <row r="75" spans="13:30" x14ac:dyDescent="0.3">
      <c r="M75" t="str">
        <f t="shared" si="10"/>
        <v/>
      </c>
      <c r="N75" s="2" t="str">
        <f t="shared" si="14"/>
        <v/>
      </c>
      <c r="AB75" s="1" t="e">
        <f t="shared" si="11"/>
        <v>#N/A</v>
      </c>
      <c r="AC75" t="e">
        <f t="shared" si="12"/>
        <v>#N/A</v>
      </c>
      <c r="AD75" s="2" t="e">
        <f t="shared" si="13"/>
        <v>#N/A</v>
      </c>
    </row>
    <row r="76" spans="13:30" x14ac:dyDescent="0.3">
      <c r="M76" t="str">
        <f t="shared" si="10"/>
        <v/>
      </c>
      <c r="N76" s="2" t="str">
        <f t="shared" si="14"/>
        <v/>
      </c>
      <c r="AB76" s="1" t="e">
        <f t="shared" si="11"/>
        <v>#N/A</v>
      </c>
      <c r="AC76" t="e">
        <f t="shared" si="12"/>
        <v>#N/A</v>
      </c>
      <c r="AD76" s="2" t="e">
        <f t="shared" si="13"/>
        <v>#N/A</v>
      </c>
    </row>
    <row r="77" spans="13:30" x14ac:dyDescent="0.3">
      <c r="M77" t="str">
        <f t="shared" si="10"/>
        <v/>
      </c>
      <c r="N77" s="2" t="str">
        <f t="shared" si="14"/>
        <v/>
      </c>
      <c r="AB77" s="1" t="e">
        <f t="shared" si="11"/>
        <v>#N/A</v>
      </c>
      <c r="AC77" t="e">
        <f t="shared" si="12"/>
        <v>#N/A</v>
      </c>
      <c r="AD77" s="2" t="e">
        <f t="shared" si="13"/>
        <v>#N/A</v>
      </c>
    </row>
    <row r="78" spans="13:30" x14ac:dyDescent="0.3">
      <c r="M78" t="str">
        <f t="shared" si="10"/>
        <v/>
      </c>
      <c r="N78" s="2" t="str">
        <f t="shared" si="14"/>
        <v/>
      </c>
      <c r="AB78" s="1" t="e">
        <f t="shared" si="11"/>
        <v>#N/A</v>
      </c>
      <c r="AC78" t="e">
        <f t="shared" si="12"/>
        <v>#N/A</v>
      </c>
      <c r="AD78" s="2" t="e">
        <f t="shared" si="13"/>
        <v>#N/A</v>
      </c>
    </row>
    <row r="79" spans="13:30" x14ac:dyDescent="0.3">
      <c r="M79" t="str">
        <f t="shared" si="10"/>
        <v/>
      </c>
      <c r="N79" s="2" t="str">
        <f t="shared" si="14"/>
        <v/>
      </c>
      <c r="AB79" s="1" t="e">
        <f t="shared" si="11"/>
        <v>#N/A</v>
      </c>
      <c r="AC79" t="e">
        <f t="shared" si="12"/>
        <v>#N/A</v>
      </c>
      <c r="AD79" s="2" t="e">
        <f t="shared" si="13"/>
        <v>#N/A</v>
      </c>
    </row>
    <row r="80" spans="13:30" x14ac:dyDescent="0.3">
      <c r="M80" t="str">
        <f t="shared" si="10"/>
        <v/>
      </c>
      <c r="N80" s="2" t="str">
        <f t="shared" si="14"/>
        <v/>
      </c>
      <c r="AB80" s="1" t="e">
        <f t="shared" si="11"/>
        <v>#N/A</v>
      </c>
      <c r="AC80" t="e">
        <f t="shared" si="12"/>
        <v>#N/A</v>
      </c>
      <c r="AD80" s="2" t="e">
        <f t="shared" si="13"/>
        <v>#N/A</v>
      </c>
    </row>
    <row r="81" spans="13:30" x14ac:dyDescent="0.3">
      <c r="M81" t="str">
        <f t="shared" si="10"/>
        <v/>
      </c>
      <c r="N81" s="2" t="str">
        <f t="shared" si="14"/>
        <v/>
      </c>
      <c r="AB81" s="1" t="e">
        <f t="shared" si="11"/>
        <v>#N/A</v>
      </c>
      <c r="AC81" t="e">
        <f t="shared" si="12"/>
        <v>#N/A</v>
      </c>
      <c r="AD81" s="2" t="e">
        <f t="shared" si="13"/>
        <v>#N/A</v>
      </c>
    </row>
    <row r="82" spans="13:30" x14ac:dyDescent="0.3">
      <c r="M82" t="str">
        <f t="shared" si="10"/>
        <v/>
      </c>
      <c r="N82" s="2" t="str">
        <f t="shared" si="14"/>
        <v/>
      </c>
      <c r="AB82" s="1" t="e">
        <f t="shared" si="11"/>
        <v>#N/A</v>
      </c>
      <c r="AC82" t="e">
        <f t="shared" si="12"/>
        <v>#N/A</v>
      </c>
      <c r="AD82" s="2" t="e">
        <f t="shared" si="13"/>
        <v>#N/A</v>
      </c>
    </row>
    <row r="83" spans="13:30" x14ac:dyDescent="0.3">
      <c r="M83" t="str">
        <f t="shared" si="10"/>
        <v/>
      </c>
      <c r="N83" s="2" t="str">
        <f t="shared" si="14"/>
        <v/>
      </c>
      <c r="AB83" s="1" t="e">
        <f t="shared" si="11"/>
        <v>#N/A</v>
      </c>
      <c r="AC83" t="e">
        <f t="shared" si="12"/>
        <v>#N/A</v>
      </c>
      <c r="AD83" s="2" t="e">
        <f t="shared" si="13"/>
        <v>#N/A</v>
      </c>
    </row>
    <row r="84" spans="13:30" x14ac:dyDescent="0.3">
      <c r="M84" t="str">
        <f t="shared" si="10"/>
        <v/>
      </c>
      <c r="N84" s="2" t="str">
        <f t="shared" si="14"/>
        <v/>
      </c>
      <c r="AB84" s="1" t="e">
        <f t="shared" si="11"/>
        <v>#N/A</v>
      </c>
      <c r="AC84" t="e">
        <f t="shared" si="12"/>
        <v>#N/A</v>
      </c>
      <c r="AD84" s="2" t="e">
        <f t="shared" si="13"/>
        <v>#N/A</v>
      </c>
    </row>
    <row r="85" spans="13:30" x14ac:dyDescent="0.3">
      <c r="M85" t="str">
        <f t="shared" si="10"/>
        <v/>
      </c>
      <c r="N85" s="2" t="str">
        <f t="shared" si="14"/>
        <v/>
      </c>
      <c r="AB85" s="1" t="e">
        <f t="shared" si="11"/>
        <v>#N/A</v>
      </c>
      <c r="AC85" t="e">
        <f t="shared" si="12"/>
        <v>#N/A</v>
      </c>
      <c r="AD85" s="2" t="e">
        <f t="shared" si="13"/>
        <v>#N/A</v>
      </c>
    </row>
    <row r="86" spans="13:30" x14ac:dyDescent="0.3">
      <c r="M86" t="str">
        <f t="shared" ref="M86:M117" si="15">IF(G86=2030,F86,"")</f>
        <v/>
      </c>
      <c r="N86" s="2" t="str">
        <f t="shared" si="14"/>
        <v/>
      </c>
      <c r="AB86" s="1" t="e">
        <f t="shared" si="11"/>
        <v>#N/A</v>
      </c>
      <c r="AC86" t="e">
        <f t="shared" si="12"/>
        <v>#N/A</v>
      </c>
      <c r="AD86" s="2" t="e">
        <f t="shared" si="13"/>
        <v>#N/A</v>
      </c>
    </row>
    <row r="87" spans="13:30" x14ac:dyDescent="0.3">
      <c r="M87" t="str">
        <f t="shared" si="15"/>
        <v/>
      </c>
      <c r="N87" s="2" t="str">
        <f t="shared" si="14"/>
        <v/>
      </c>
      <c r="AB87" s="1" t="e">
        <f t="shared" si="11"/>
        <v>#N/A</v>
      </c>
      <c r="AC87" t="e">
        <f t="shared" si="12"/>
        <v>#N/A</v>
      </c>
      <c r="AD87" s="2" t="e">
        <f t="shared" si="13"/>
        <v>#N/A</v>
      </c>
    </row>
    <row r="88" spans="13:30" x14ac:dyDescent="0.3">
      <c r="M88" t="str">
        <f t="shared" si="15"/>
        <v/>
      </c>
      <c r="N88" s="2" t="str">
        <f t="shared" si="14"/>
        <v/>
      </c>
      <c r="AB88" s="1" t="e">
        <f t="shared" si="11"/>
        <v>#N/A</v>
      </c>
      <c r="AC88" t="e">
        <f t="shared" si="12"/>
        <v>#N/A</v>
      </c>
      <c r="AD88" s="2" t="e">
        <f t="shared" si="13"/>
        <v>#N/A</v>
      </c>
    </row>
    <row r="89" spans="13:30" x14ac:dyDescent="0.3">
      <c r="M89" t="str">
        <f t="shared" si="15"/>
        <v/>
      </c>
      <c r="N89" s="2" t="str">
        <f t="shared" si="14"/>
        <v/>
      </c>
      <c r="AB89" s="1" t="e">
        <f t="shared" si="11"/>
        <v>#N/A</v>
      </c>
      <c r="AC89" t="e">
        <f t="shared" si="12"/>
        <v>#N/A</v>
      </c>
      <c r="AD89" s="2" t="e">
        <f t="shared" si="13"/>
        <v>#N/A</v>
      </c>
    </row>
    <row r="90" spans="13:30" x14ac:dyDescent="0.3">
      <c r="M90" t="str">
        <f t="shared" si="15"/>
        <v/>
      </c>
      <c r="N90" s="2" t="str">
        <f t="shared" si="14"/>
        <v/>
      </c>
      <c r="AB90" s="1" t="e">
        <f t="shared" si="11"/>
        <v>#N/A</v>
      </c>
      <c r="AC90" t="e">
        <f t="shared" si="12"/>
        <v>#N/A</v>
      </c>
      <c r="AD90" s="2" t="e">
        <f t="shared" si="13"/>
        <v>#N/A</v>
      </c>
    </row>
    <row r="91" spans="13:30" x14ac:dyDescent="0.3">
      <c r="M91" t="str">
        <f t="shared" si="15"/>
        <v/>
      </c>
      <c r="N91" s="2" t="str">
        <f t="shared" si="14"/>
        <v/>
      </c>
      <c r="AB91" s="1" t="e">
        <f t="shared" si="11"/>
        <v>#N/A</v>
      </c>
      <c r="AC91" t="e">
        <f t="shared" si="12"/>
        <v>#N/A</v>
      </c>
      <c r="AD91" s="2" t="e">
        <f t="shared" si="13"/>
        <v>#N/A</v>
      </c>
    </row>
    <row r="92" spans="13:30" x14ac:dyDescent="0.3">
      <c r="M92" t="str">
        <f t="shared" si="15"/>
        <v/>
      </c>
      <c r="N92" s="2" t="str">
        <f t="shared" si="14"/>
        <v/>
      </c>
      <c r="AB92" s="1" t="e">
        <f t="shared" si="11"/>
        <v>#N/A</v>
      </c>
      <c r="AC92" t="e">
        <f t="shared" si="12"/>
        <v>#N/A</v>
      </c>
      <c r="AD92" s="2" t="e">
        <f t="shared" si="13"/>
        <v>#N/A</v>
      </c>
    </row>
    <row r="93" spans="13:30" x14ac:dyDescent="0.3">
      <c r="M93" t="str">
        <f t="shared" si="15"/>
        <v/>
      </c>
      <c r="N93" s="2" t="str">
        <f t="shared" si="14"/>
        <v/>
      </c>
      <c r="AB93" s="1" t="e">
        <f t="shared" si="11"/>
        <v>#N/A</v>
      </c>
      <c r="AC93" t="e">
        <f t="shared" si="12"/>
        <v>#N/A</v>
      </c>
      <c r="AD93" s="2" t="e">
        <f t="shared" si="13"/>
        <v>#N/A</v>
      </c>
    </row>
    <row r="94" spans="13:30" x14ac:dyDescent="0.3">
      <c r="M94" t="str">
        <f t="shared" si="15"/>
        <v/>
      </c>
      <c r="N94" s="2" t="str">
        <f t="shared" si="14"/>
        <v/>
      </c>
      <c r="AB94" s="1" t="e">
        <f t="shared" si="11"/>
        <v>#N/A</v>
      </c>
      <c r="AC94" t="e">
        <f t="shared" si="12"/>
        <v>#N/A</v>
      </c>
      <c r="AD94" s="2" t="e">
        <f t="shared" si="13"/>
        <v>#N/A</v>
      </c>
    </row>
    <row r="95" spans="13:30" x14ac:dyDescent="0.3">
      <c r="M95" t="str">
        <f t="shared" si="15"/>
        <v/>
      </c>
      <c r="N95" s="2" t="str">
        <f t="shared" si="14"/>
        <v/>
      </c>
      <c r="AB95" s="1" t="e">
        <f t="shared" si="11"/>
        <v>#N/A</v>
      </c>
      <c r="AC95" t="e">
        <f t="shared" si="12"/>
        <v>#N/A</v>
      </c>
      <c r="AD95" s="2" t="e">
        <f t="shared" si="13"/>
        <v>#N/A</v>
      </c>
    </row>
    <row r="96" spans="13:30" x14ac:dyDescent="0.3">
      <c r="M96" t="str">
        <f t="shared" si="15"/>
        <v/>
      </c>
      <c r="N96" s="2" t="str">
        <f t="shared" si="14"/>
        <v/>
      </c>
      <c r="AB96" s="1" t="e">
        <f t="shared" si="11"/>
        <v>#N/A</v>
      </c>
      <c r="AC96" t="e">
        <f t="shared" si="12"/>
        <v>#N/A</v>
      </c>
      <c r="AD96" s="2" t="e">
        <f t="shared" si="13"/>
        <v>#N/A</v>
      </c>
    </row>
    <row r="97" spans="13:30" x14ac:dyDescent="0.3">
      <c r="M97" t="str">
        <f t="shared" si="15"/>
        <v/>
      </c>
      <c r="N97" s="2" t="str">
        <f t="shared" si="14"/>
        <v/>
      </c>
      <c r="AB97" s="1" t="e">
        <f t="shared" si="11"/>
        <v>#N/A</v>
      </c>
      <c r="AC97" t="e">
        <f t="shared" si="12"/>
        <v>#N/A</v>
      </c>
      <c r="AD97" s="2" t="e">
        <f t="shared" si="13"/>
        <v>#N/A</v>
      </c>
    </row>
    <row r="98" spans="13:30" x14ac:dyDescent="0.3">
      <c r="M98" t="str">
        <f t="shared" si="15"/>
        <v/>
      </c>
      <c r="N98" s="2" t="str">
        <f t="shared" si="14"/>
        <v/>
      </c>
      <c r="AB98" s="1" t="e">
        <f t="shared" ref="AB98:AB120" si="16">IF(L98="",NA(),L98)</f>
        <v>#N/A</v>
      </c>
      <c r="AC98" t="e">
        <f t="shared" ref="AC98:AC120" si="17">IF(M98="",NA(),M98)</f>
        <v>#N/A</v>
      </c>
      <c r="AD98" s="2" t="e">
        <f t="shared" ref="AD98:AD120" si="18">IF(N98="",NA(),N98)</f>
        <v>#N/A</v>
      </c>
    </row>
    <row r="99" spans="13:30" x14ac:dyDescent="0.3">
      <c r="M99" t="str">
        <f t="shared" si="15"/>
        <v/>
      </c>
      <c r="N99" s="2" t="str">
        <f t="shared" si="14"/>
        <v/>
      </c>
      <c r="AB99" s="1" t="e">
        <f t="shared" si="16"/>
        <v>#N/A</v>
      </c>
      <c r="AC99" t="e">
        <f t="shared" si="17"/>
        <v>#N/A</v>
      </c>
      <c r="AD99" s="2" t="e">
        <f t="shared" si="18"/>
        <v>#N/A</v>
      </c>
    </row>
    <row r="100" spans="13:30" x14ac:dyDescent="0.3">
      <c r="M100" t="str">
        <f t="shared" si="15"/>
        <v/>
      </c>
      <c r="AB100" s="1" t="e">
        <f t="shared" si="16"/>
        <v>#N/A</v>
      </c>
      <c r="AC100" t="e">
        <f t="shared" si="17"/>
        <v>#N/A</v>
      </c>
      <c r="AD100" s="2" t="e">
        <f t="shared" si="18"/>
        <v>#N/A</v>
      </c>
    </row>
    <row r="101" spans="13:30" x14ac:dyDescent="0.3">
      <c r="M101" t="str">
        <f t="shared" si="15"/>
        <v/>
      </c>
      <c r="AB101" s="1" t="e">
        <f t="shared" si="16"/>
        <v>#N/A</v>
      </c>
      <c r="AC101" t="e">
        <f t="shared" si="17"/>
        <v>#N/A</v>
      </c>
      <c r="AD101" s="2" t="e">
        <f t="shared" si="18"/>
        <v>#N/A</v>
      </c>
    </row>
    <row r="102" spans="13:30" x14ac:dyDescent="0.3">
      <c r="M102" t="str">
        <f t="shared" si="15"/>
        <v/>
      </c>
      <c r="AB102" s="1" t="e">
        <f t="shared" si="16"/>
        <v>#N/A</v>
      </c>
      <c r="AC102" t="e">
        <f t="shared" si="17"/>
        <v>#N/A</v>
      </c>
      <c r="AD102" s="2" t="e">
        <f t="shared" si="18"/>
        <v>#N/A</v>
      </c>
    </row>
    <row r="103" spans="13:30" x14ac:dyDescent="0.3">
      <c r="M103" t="str">
        <f t="shared" si="15"/>
        <v/>
      </c>
      <c r="AB103" s="1" t="e">
        <f t="shared" si="16"/>
        <v>#N/A</v>
      </c>
      <c r="AC103" t="e">
        <f t="shared" si="17"/>
        <v>#N/A</v>
      </c>
      <c r="AD103" s="2" t="e">
        <f t="shared" si="18"/>
        <v>#N/A</v>
      </c>
    </row>
    <row r="104" spans="13:30" x14ac:dyDescent="0.3">
      <c r="M104" t="str">
        <f t="shared" si="15"/>
        <v/>
      </c>
      <c r="AB104" s="1" t="e">
        <f t="shared" si="16"/>
        <v>#N/A</v>
      </c>
      <c r="AC104" t="e">
        <f t="shared" si="17"/>
        <v>#N/A</v>
      </c>
      <c r="AD104" s="2" t="e">
        <f t="shared" si="18"/>
        <v>#N/A</v>
      </c>
    </row>
    <row r="105" spans="13:30" x14ac:dyDescent="0.3">
      <c r="M105" t="str">
        <f t="shared" si="15"/>
        <v/>
      </c>
      <c r="AB105" s="1" t="e">
        <f t="shared" si="16"/>
        <v>#N/A</v>
      </c>
      <c r="AC105" t="e">
        <f t="shared" si="17"/>
        <v>#N/A</v>
      </c>
      <c r="AD105" s="2" t="e">
        <f t="shared" si="18"/>
        <v>#N/A</v>
      </c>
    </row>
    <row r="106" spans="13:30" x14ac:dyDescent="0.3">
      <c r="M106" t="str">
        <f t="shared" si="15"/>
        <v/>
      </c>
      <c r="AB106" s="1" t="e">
        <f t="shared" si="16"/>
        <v>#N/A</v>
      </c>
      <c r="AC106" t="e">
        <f t="shared" si="17"/>
        <v>#N/A</v>
      </c>
      <c r="AD106" s="2" t="e">
        <f t="shared" si="18"/>
        <v>#N/A</v>
      </c>
    </row>
    <row r="107" spans="13:30" x14ac:dyDescent="0.3">
      <c r="M107" t="str">
        <f t="shared" si="15"/>
        <v/>
      </c>
      <c r="AB107" s="1" t="e">
        <f t="shared" si="16"/>
        <v>#N/A</v>
      </c>
      <c r="AC107" t="e">
        <f t="shared" si="17"/>
        <v>#N/A</v>
      </c>
      <c r="AD107" s="2" t="e">
        <f t="shared" si="18"/>
        <v>#N/A</v>
      </c>
    </row>
    <row r="108" spans="13:30" x14ac:dyDescent="0.3">
      <c r="M108" t="str">
        <f t="shared" si="15"/>
        <v/>
      </c>
      <c r="AB108" s="1" t="e">
        <f t="shared" si="16"/>
        <v>#N/A</v>
      </c>
      <c r="AC108" t="e">
        <f t="shared" si="17"/>
        <v>#N/A</v>
      </c>
      <c r="AD108" s="2" t="e">
        <f t="shared" si="18"/>
        <v>#N/A</v>
      </c>
    </row>
    <row r="109" spans="13:30" x14ac:dyDescent="0.3">
      <c r="M109" t="str">
        <f t="shared" si="15"/>
        <v/>
      </c>
      <c r="AB109" s="1" t="e">
        <f t="shared" si="16"/>
        <v>#N/A</v>
      </c>
      <c r="AC109" t="e">
        <f t="shared" si="17"/>
        <v>#N/A</v>
      </c>
      <c r="AD109" s="2" t="e">
        <f t="shared" si="18"/>
        <v>#N/A</v>
      </c>
    </row>
    <row r="110" spans="13:30" x14ac:dyDescent="0.3">
      <c r="M110" t="str">
        <f t="shared" si="15"/>
        <v/>
      </c>
      <c r="AB110" s="1" t="e">
        <f t="shared" si="16"/>
        <v>#N/A</v>
      </c>
      <c r="AC110" t="e">
        <f t="shared" si="17"/>
        <v>#N/A</v>
      </c>
      <c r="AD110" s="2" t="e">
        <f t="shared" si="18"/>
        <v>#N/A</v>
      </c>
    </row>
    <row r="111" spans="13:30" x14ac:dyDescent="0.3">
      <c r="M111" t="str">
        <f t="shared" si="15"/>
        <v/>
      </c>
      <c r="AB111" s="1" t="e">
        <f t="shared" si="16"/>
        <v>#N/A</v>
      </c>
      <c r="AC111" t="e">
        <f t="shared" si="17"/>
        <v>#N/A</v>
      </c>
      <c r="AD111" s="2" t="e">
        <f t="shared" si="18"/>
        <v>#N/A</v>
      </c>
    </row>
    <row r="112" spans="13:30" x14ac:dyDescent="0.3">
      <c r="M112" t="str">
        <f t="shared" si="15"/>
        <v/>
      </c>
      <c r="AB112" s="1" t="e">
        <f t="shared" si="16"/>
        <v>#N/A</v>
      </c>
      <c r="AC112" t="e">
        <f t="shared" si="17"/>
        <v>#N/A</v>
      </c>
      <c r="AD112" s="2" t="e">
        <f t="shared" si="18"/>
        <v>#N/A</v>
      </c>
    </row>
    <row r="113" spans="13:30" x14ac:dyDescent="0.3">
      <c r="M113" t="str">
        <f t="shared" si="15"/>
        <v/>
      </c>
      <c r="AB113" s="1" t="e">
        <f t="shared" si="16"/>
        <v>#N/A</v>
      </c>
      <c r="AC113" t="e">
        <f t="shared" si="17"/>
        <v>#N/A</v>
      </c>
      <c r="AD113" s="2" t="e">
        <f t="shared" si="18"/>
        <v>#N/A</v>
      </c>
    </row>
    <row r="114" spans="13:30" x14ac:dyDescent="0.3">
      <c r="M114" t="str">
        <f t="shared" si="15"/>
        <v/>
      </c>
      <c r="AB114" s="1" t="e">
        <f t="shared" si="16"/>
        <v>#N/A</v>
      </c>
      <c r="AC114" t="e">
        <f t="shared" si="17"/>
        <v>#N/A</v>
      </c>
      <c r="AD114" s="2" t="e">
        <f t="shared" si="18"/>
        <v>#N/A</v>
      </c>
    </row>
    <row r="115" spans="13:30" x14ac:dyDescent="0.3">
      <c r="M115" t="str">
        <f t="shared" si="15"/>
        <v/>
      </c>
      <c r="AB115" s="1" t="e">
        <f t="shared" si="16"/>
        <v>#N/A</v>
      </c>
      <c r="AC115" t="e">
        <f t="shared" si="17"/>
        <v>#N/A</v>
      </c>
      <c r="AD115" s="2" t="e">
        <f t="shared" si="18"/>
        <v>#N/A</v>
      </c>
    </row>
    <row r="116" spans="13:30" x14ac:dyDescent="0.3">
      <c r="M116" t="str">
        <f t="shared" si="15"/>
        <v/>
      </c>
      <c r="AB116" s="1" t="e">
        <f t="shared" si="16"/>
        <v>#N/A</v>
      </c>
      <c r="AC116" t="e">
        <f t="shared" si="17"/>
        <v>#N/A</v>
      </c>
      <c r="AD116" s="2" t="e">
        <f t="shared" si="18"/>
        <v>#N/A</v>
      </c>
    </row>
    <row r="117" spans="13:30" x14ac:dyDescent="0.3">
      <c r="M117" t="str">
        <f t="shared" si="15"/>
        <v/>
      </c>
      <c r="AB117" s="1" t="e">
        <f t="shared" si="16"/>
        <v>#N/A</v>
      </c>
      <c r="AC117" t="e">
        <f t="shared" si="17"/>
        <v>#N/A</v>
      </c>
      <c r="AD117" s="2" t="e">
        <f t="shared" si="18"/>
        <v>#N/A</v>
      </c>
    </row>
    <row r="118" spans="13:30" x14ac:dyDescent="0.3">
      <c r="M118" t="str">
        <f t="shared" ref="M118:M134" si="19">IF(G118=2030,F118,"")</f>
        <v/>
      </c>
      <c r="AB118" s="1" t="e">
        <f t="shared" si="16"/>
        <v>#N/A</v>
      </c>
      <c r="AC118" t="e">
        <f t="shared" si="17"/>
        <v>#N/A</v>
      </c>
      <c r="AD118" s="2" t="e">
        <f t="shared" si="18"/>
        <v>#N/A</v>
      </c>
    </row>
    <row r="119" spans="13:30" x14ac:dyDescent="0.3">
      <c r="M119" t="str">
        <f t="shared" si="19"/>
        <v/>
      </c>
      <c r="AB119" s="1" t="e">
        <f t="shared" si="16"/>
        <v>#N/A</v>
      </c>
      <c r="AC119" t="e">
        <f t="shared" si="17"/>
        <v>#N/A</v>
      </c>
      <c r="AD119" s="2" t="e">
        <f t="shared" si="18"/>
        <v>#N/A</v>
      </c>
    </row>
    <row r="120" spans="13:30" x14ac:dyDescent="0.3">
      <c r="M120" t="str">
        <f t="shared" si="19"/>
        <v/>
      </c>
      <c r="AB120" s="1" t="e">
        <f t="shared" si="16"/>
        <v>#N/A</v>
      </c>
      <c r="AC120" t="e">
        <f t="shared" si="17"/>
        <v>#N/A</v>
      </c>
      <c r="AD120" s="2" t="e">
        <f t="shared" si="18"/>
        <v>#N/A</v>
      </c>
    </row>
    <row r="121" spans="13:30" x14ac:dyDescent="0.3">
      <c r="M121" t="str">
        <f t="shared" si="19"/>
        <v/>
      </c>
      <c r="AC121" t="str">
        <f t="shared" ref="AC121:AC134" si="20">IF(V121=2030,S121,"")</f>
        <v/>
      </c>
    </row>
    <row r="122" spans="13:30" x14ac:dyDescent="0.3">
      <c r="M122" t="str">
        <f t="shared" si="19"/>
        <v/>
      </c>
      <c r="AC122" t="str">
        <f t="shared" si="20"/>
        <v/>
      </c>
    </row>
    <row r="123" spans="13:30" x14ac:dyDescent="0.3">
      <c r="M123" t="str">
        <f t="shared" si="19"/>
        <v/>
      </c>
      <c r="AC123" t="str">
        <f t="shared" si="20"/>
        <v/>
      </c>
    </row>
    <row r="124" spans="13:30" x14ac:dyDescent="0.3">
      <c r="M124" t="str">
        <f t="shared" si="19"/>
        <v/>
      </c>
      <c r="AC124" t="str">
        <f t="shared" si="20"/>
        <v/>
      </c>
    </row>
    <row r="125" spans="13:30" x14ac:dyDescent="0.3">
      <c r="M125" t="str">
        <f t="shared" si="19"/>
        <v/>
      </c>
      <c r="AC125" t="str">
        <f t="shared" si="20"/>
        <v/>
      </c>
    </row>
    <row r="126" spans="13:30" x14ac:dyDescent="0.3">
      <c r="M126" t="str">
        <f t="shared" si="19"/>
        <v/>
      </c>
      <c r="AC126" t="str">
        <f t="shared" si="20"/>
        <v/>
      </c>
    </row>
    <row r="127" spans="13:30" x14ac:dyDescent="0.3">
      <c r="M127" t="str">
        <f t="shared" si="19"/>
        <v/>
      </c>
      <c r="AC127" t="str">
        <f t="shared" si="20"/>
        <v/>
      </c>
    </row>
    <row r="128" spans="13:30" x14ac:dyDescent="0.3">
      <c r="M128" t="str">
        <f t="shared" si="19"/>
        <v/>
      </c>
      <c r="AC128" t="str">
        <f t="shared" si="20"/>
        <v/>
      </c>
    </row>
    <row r="129" spans="13:29" x14ac:dyDescent="0.3">
      <c r="M129" t="str">
        <f t="shared" si="19"/>
        <v/>
      </c>
      <c r="AC129" t="str">
        <f t="shared" si="20"/>
        <v/>
      </c>
    </row>
    <row r="130" spans="13:29" x14ac:dyDescent="0.3">
      <c r="M130" t="str">
        <f t="shared" si="19"/>
        <v/>
      </c>
      <c r="AC130" t="str">
        <f t="shared" si="20"/>
        <v/>
      </c>
    </row>
    <row r="131" spans="13:29" x14ac:dyDescent="0.3">
      <c r="M131" t="str">
        <f t="shared" si="19"/>
        <v/>
      </c>
      <c r="AC131" t="str">
        <f t="shared" si="20"/>
        <v/>
      </c>
    </row>
    <row r="132" spans="13:29" x14ac:dyDescent="0.3">
      <c r="M132" t="str">
        <f t="shared" si="19"/>
        <v/>
      </c>
      <c r="AC132" t="str">
        <f t="shared" si="20"/>
        <v/>
      </c>
    </row>
    <row r="133" spans="13:29" x14ac:dyDescent="0.3">
      <c r="M133" t="str">
        <f t="shared" si="19"/>
        <v/>
      </c>
      <c r="AC133" t="str">
        <f t="shared" si="20"/>
        <v/>
      </c>
    </row>
    <row r="134" spans="13:29" x14ac:dyDescent="0.3">
      <c r="M134" t="str">
        <f t="shared" si="19"/>
        <v/>
      </c>
      <c r="AC134" t="str">
        <f t="shared" si="20"/>
        <v/>
      </c>
    </row>
  </sheetData>
  <conditionalFormatting sqref="G1:G1048576">
    <cfRule type="cellIs" dxfId="26" priority="1" operator="between">
      <formula>2010</formula>
      <formula>2029</formula>
    </cfRule>
    <cfRule type="cellIs" dxfId="25" priority="2" operator="equal">
      <formula>2030</formula>
    </cfRule>
    <cfRule type="cellIs" dxfId="24" priority="3" operator="between">
      <formula>2039</formula>
      <formula>2050</formula>
    </cfRule>
  </conditionalFormatting>
  <conditionalFormatting sqref="I1:I1048576">
    <cfRule type="cellIs" dxfId="23" priority="4" operator="equal">
      <formula>"no"</formula>
    </cfRule>
    <cfRule type="cellIs" dxfId="22" priority="5" operator="equal">
      <formula>"yes"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7F635-7816-416E-88CC-496C74A06BEC}">
  <dimension ref="A1:AD134"/>
  <sheetViews>
    <sheetView zoomScaleNormal="100" workbookViewId="0">
      <selection activeCell="B23" sqref="B23"/>
    </sheetView>
  </sheetViews>
  <sheetFormatPr defaultColWidth="8.88671875" defaultRowHeight="14.4" x14ac:dyDescent="0.3"/>
  <cols>
    <col min="1" max="1" width="12.109375" customWidth="1"/>
    <col min="2" max="2" width="5.88671875" customWidth="1"/>
    <col min="3" max="3" width="23.6640625" customWidth="1"/>
    <col min="6" max="6" width="13.109375" style="3" customWidth="1"/>
    <col min="7" max="7" width="8.88671875" style="2"/>
    <col min="9" max="9" width="8.88671875" style="1"/>
    <col min="10" max="10" width="13.109375" style="2" customWidth="1"/>
    <col min="11" max="12" width="8.88671875" style="1"/>
    <col min="13" max="13" width="10.109375" customWidth="1"/>
    <col min="14" max="14" width="11.109375" style="2" customWidth="1"/>
    <col min="28" max="28" width="8.88671875" style="1"/>
    <col min="29" max="29" width="9.44140625" customWidth="1"/>
    <col min="30" max="30" width="9.5546875" style="2" customWidth="1"/>
  </cols>
  <sheetData>
    <row r="1" spans="1:30" s="4" customFormat="1" x14ac:dyDescent="0.3">
      <c r="A1" s="4" t="s">
        <v>10</v>
      </c>
      <c r="B1" s="4" t="s">
        <v>11</v>
      </c>
      <c r="C1" s="4" t="s">
        <v>12</v>
      </c>
      <c r="D1" s="4" t="s">
        <v>0</v>
      </c>
      <c r="E1" s="4" t="s">
        <v>1</v>
      </c>
      <c r="F1" s="5" t="s">
        <v>2</v>
      </c>
      <c r="G1" s="6" t="s">
        <v>3</v>
      </c>
      <c r="I1" s="7" t="s">
        <v>182</v>
      </c>
      <c r="J1" s="4" t="s">
        <v>2</v>
      </c>
      <c r="K1" s="7"/>
      <c r="L1" s="11" t="s">
        <v>39</v>
      </c>
      <c r="M1" s="12" t="s">
        <v>43</v>
      </c>
      <c r="N1" s="26" t="s">
        <v>44</v>
      </c>
      <c r="AB1" s="8" t="s">
        <v>39</v>
      </c>
      <c r="AC1" s="9" t="s">
        <v>43</v>
      </c>
      <c r="AD1" s="10" t="s">
        <v>44</v>
      </c>
    </row>
    <row r="2" spans="1:30" ht="15" thickBot="1" x14ac:dyDescent="0.35">
      <c r="A2" t="s">
        <v>45</v>
      </c>
      <c r="B2" t="s">
        <v>46</v>
      </c>
      <c r="C2" t="s">
        <v>84</v>
      </c>
      <c r="E2" t="s">
        <v>7</v>
      </c>
      <c r="F2">
        <v>1100</v>
      </c>
      <c r="G2" s="2">
        <v>2019</v>
      </c>
      <c r="I2" s="1" t="s">
        <v>184</v>
      </c>
      <c r="J2" s="2" t="str">
        <f>IF(I2="yes",F2,"")</f>
        <v/>
      </c>
      <c r="L2" s="1" t="str">
        <f>IF(G2&lt;2025,J2,"")</f>
        <v/>
      </c>
      <c r="M2" t="str">
        <f>IF(G2=2030,J2,"")</f>
        <v/>
      </c>
      <c r="N2" s="2" t="str">
        <f>IF(G2&gt;2039,J2,"")</f>
        <v/>
      </c>
      <c r="AB2" s="1" t="e">
        <f t="shared" ref="AB2:AB33" si="0">IF(L2="",NA(),L2)</f>
        <v>#N/A</v>
      </c>
      <c r="AC2" t="e">
        <f t="shared" ref="AC2:AC33" si="1">IF(M2="",NA(),M2)</f>
        <v>#N/A</v>
      </c>
      <c r="AD2" s="2" t="e">
        <f t="shared" ref="AD2:AD33" si="2">IF(N2="",NA(),N2)</f>
        <v>#N/A</v>
      </c>
    </row>
    <row r="3" spans="1:30" ht="15.6" x14ac:dyDescent="0.3">
      <c r="E3" t="s">
        <v>8</v>
      </c>
      <c r="F3">
        <v>1800</v>
      </c>
      <c r="G3" s="2">
        <v>2019</v>
      </c>
      <c r="I3" s="1" t="s">
        <v>184</v>
      </c>
      <c r="J3" s="2" t="str">
        <f t="shared" ref="J3:J20" si="3">IF(I3="yes",F3,"")</f>
        <v/>
      </c>
      <c r="L3" s="1" t="str">
        <f t="shared" ref="L3:L20" si="4">IF(G3&lt;2025,J3,"")</f>
        <v/>
      </c>
      <c r="M3" t="str">
        <f t="shared" ref="M3:M23" si="5">IF(G3=2030,J3,"")</f>
        <v/>
      </c>
      <c r="N3" s="2" t="str">
        <f t="shared" ref="N3:N66" si="6">IF(G3&gt;2039,J3,"")</f>
        <v/>
      </c>
      <c r="V3" s="15" t="s">
        <v>188</v>
      </c>
      <c r="W3" s="16" t="s">
        <v>40</v>
      </c>
      <c r="X3" s="17" t="s">
        <v>42</v>
      </c>
      <c r="Y3" s="18" t="s">
        <v>41</v>
      </c>
      <c r="AB3" s="1" t="e">
        <f t="shared" si="0"/>
        <v>#N/A</v>
      </c>
      <c r="AC3" t="e">
        <f t="shared" si="1"/>
        <v>#N/A</v>
      </c>
      <c r="AD3" s="2" t="e">
        <f t="shared" si="2"/>
        <v>#N/A</v>
      </c>
    </row>
    <row r="4" spans="1:30" x14ac:dyDescent="0.3">
      <c r="C4" t="s">
        <v>85</v>
      </c>
      <c r="E4" t="s">
        <v>7</v>
      </c>
      <c r="F4">
        <v>650</v>
      </c>
      <c r="G4" s="2">
        <v>2030</v>
      </c>
      <c r="I4" s="1" t="s">
        <v>184</v>
      </c>
      <c r="J4" s="2" t="str">
        <f t="shared" si="3"/>
        <v/>
      </c>
      <c r="L4" s="1" t="str">
        <f t="shared" si="4"/>
        <v/>
      </c>
      <c r="M4" t="str">
        <f t="shared" si="5"/>
        <v/>
      </c>
      <c r="N4" s="2" t="str">
        <f t="shared" si="6"/>
        <v/>
      </c>
      <c r="V4" s="19">
        <v>2020</v>
      </c>
      <c r="W4" s="14">
        <f>AVERAGE(L:L)</f>
        <v>957.5</v>
      </c>
      <c r="X4" s="13">
        <f>MIN(L:L)</f>
        <v>700</v>
      </c>
      <c r="Y4" s="20">
        <f>MAX(L:L)</f>
        <v>1400</v>
      </c>
      <c r="AB4" s="1" t="e">
        <f t="shared" si="0"/>
        <v>#N/A</v>
      </c>
      <c r="AC4" t="e">
        <f t="shared" si="1"/>
        <v>#N/A</v>
      </c>
      <c r="AD4" s="2" t="e">
        <f t="shared" si="2"/>
        <v>#N/A</v>
      </c>
    </row>
    <row r="5" spans="1:30" x14ac:dyDescent="0.3">
      <c r="E5" t="s">
        <v>8</v>
      </c>
      <c r="F5">
        <v>1500</v>
      </c>
      <c r="G5" s="2">
        <v>2030</v>
      </c>
      <c r="I5" s="1" t="s">
        <v>184</v>
      </c>
      <c r="J5" s="2" t="str">
        <f t="shared" si="3"/>
        <v/>
      </c>
      <c r="L5" s="1" t="str">
        <f t="shared" si="4"/>
        <v/>
      </c>
      <c r="M5" t="str">
        <f t="shared" si="5"/>
        <v/>
      </c>
      <c r="N5" s="2" t="str">
        <f t="shared" si="6"/>
        <v/>
      </c>
      <c r="V5" s="21">
        <v>2030</v>
      </c>
      <c r="W5" s="14">
        <f>AVERAGE(M:M)</f>
        <v>746.66666666666663</v>
      </c>
      <c r="X5" s="13">
        <f>MIN(M:M)</f>
        <v>350</v>
      </c>
      <c r="Y5" s="20">
        <f>MAX(M:M)</f>
        <v>1600</v>
      </c>
      <c r="AB5" s="1" t="e">
        <f t="shared" si="0"/>
        <v>#N/A</v>
      </c>
      <c r="AC5" t="e">
        <f t="shared" si="1"/>
        <v>#N/A</v>
      </c>
      <c r="AD5" s="2" t="e">
        <f t="shared" si="2"/>
        <v>#N/A</v>
      </c>
    </row>
    <row r="6" spans="1:30" ht="15" thickBot="1" x14ac:dyDescent="0.35">
      <c r="C6" t="s">
        <v>86</v>
      </c>
      <c r="E6" t="s">
        <v>7</v>
      </c>
      <c r="F6">
        <v>200</v>
      </c>
      <c r="G6" s="2">
        <v>2050</v>
      </c>
      <c r="I6" s="1" t="s">
        <v>183</v>
      </c>
      <c r="J6" s="2">
        <f t="shared" si="3"/>
        <v>200</v>
      </c>
      <c r="L6" s="1" t="str">
        <f t="shared" si="4"/>
        <v/>
      </c>
      <c r="M6" t="str">
        <f t="shared" si="5"/>
        <v/>
      </c>
      <c r="N6" s="2">
        <f t="shared" si="6"/>
        <v>200</v>
      </c>
      <c r="V6" s="22">
        <v>2050</v>
      </c>
      <c r="W6" s="23">
        <f>AVERAGE(N:N)</f>
        <v>433.33333333333331</v>
      </c>
      <c r="X6" s="24">
        <f>MIN(N:N)</f>
        <v>200</v>
      </c>
      <c r="Y6" s="25">
        <f>MAX(N:N)</f>
        <v>900</v>
      </c>
      <c r="AB6" s="1" t="e">
        <f t="shared" si="0"/>
        <v>#N/A</v>
      </c>
      <c r="AC6" t="e">
        <f t="shared" si="1"/>
        <v>#N/A</v>
      </c>
      <c r="AD6" s="2">
        <f t="shared" si="2"/>
        <v>200</v>
      </c>
    </row>
    <row r="7" spans="1:30" x14ac:dyDescent="0.3">
      <c r="E7" t="s">
        <v>8</v>
      </c>
      <c r="F7">
        <v>900</v>
      </c>
      <c r="G7" s="2">
        <v>2050</v>
      </c>
      <c r="I7" s="1" t="s">
        <v>183</v>
      </c>
      <c r="J7" s="2">
        <f t="shared" si="3"/>
        <v>900</v>
      </c>
      <c r="L7" s="1" t="str">
        <f t="shared" si="4"/>
        <v/>
      </c>
      <c r="M7" t="str">
        <f t="shared" si="5"/>
        <v/>
      </c>
      <c r="N7" s="2">
        <f t="shared" si="6"/>
        <v>900</v>
      </c>
      <c r="AB7" s="1" t="e">
        <f t="shared" si="0"/>
        <v>#N/A</v>
      </c>
      <c r="AC7" t="e">
        <f t="shared" si="1"/>
        <v>#N/A</v>
      </c>
      <c r="AD7" s="2">
        <f t="shared" si="2"/>
        <v>900</v>
      </c>
    </row>
    <row r="8" spans="1:30" x14ac:dyDescent="0.3">
      <c r="A8" t="s">
        <v>59</v>
      </c>
      <c r="B8" t="s">
        <v>60</v>
      </c>
      <c r="C8" t="s">
        <v>87</v>
      </c>
      <c r="E8" t="s">
        <v>7</v>
      </c>
      <c r="F8">
        <v>700</v>
      </c>
      <c r="G8" s="2">
        <v>2020</v>
      </c>
      <c r="I8" s="1" t="s">
        <v>183</v>
      </c>
      <c r="J8" s="2">
        <f t="shared" si="3"/>
        <v>700</v>
      </c>
      <c r="L8" s="1">
        <f t="shared" si="4"/>
        <v>700</v>
      </c>
      <c r="M8" t="str">
        <f t="shared" si="5"/>
        <v/>
      </c>
      <c r="N8" s="2" t="str">
        <f t="shared" si="6"/>
        <v/>
      </c>
      <c r="AB8" s="1">
        <f t="shared" si="0"/>
        <v>700</v>
      </c>
      <c r="AC8" t="e">
        <f t="shared" si="1"/>
        <v>#N/A</v>
      </c>
      <c r="AD8" s="2" t="e">
        <f t="shared" si="2"/>
        <v>#N/A</v>
      </c>
    </row>
    <row r="9" spans="1:30" x14ac:dyDescent="0.3">
      <c r="E9" t="s">
        <v>8</v>
      </c>
      <c r="F9">
        <v>1400</v>
      </c>
      <c r="G9" s="2">
        <v>2020</v>
      </c>
      <c r="I9" s="1" t="s">
        <v>183</v>
      </c>
      <c r="J9" s="2">
        <f t="shared" si="3"/>
        <v>1400</v>
      </c>
      <c r="L9" s="1">
        <f t="shared" si="4"/>
        <v>1400</v>
      </c>
      <c r="M9" t="str">
        <f t="shared" si="5"/>
        <v/>
      </c>
      <c r="N9" s="2" t="str">
        <f t="shared" si="6"/>
        <v/>
      </c>
      <c r="AB9" s="1">
        <f t="shared" si="0"/>
        <v>1400</v>
      </c>
      <c r="AC9" t="e">
        <f t="shared" si="1"/>
        <v>#N/A</v>
      </c>
      <c r="AD9" s="2" t="e">
        <f t="shared" si="2"/>
        <v>#N/A</v>
      </c>
    </row>
    <row r="10" spans="1:30" x14ac:dyDescent="0.3">
      <c r="C10">
        <v>200</v>
      </c>
      <c r="F10">
        <v>200</v>
      </c>
      <c r="G10" s="2">
        <v>2050</v>
      </c>
      <c r="I10" s="1" t="s">
        <v>183</v>
      </c>
      <c r="J10" s="2">
        <f t="shared" si="3"/>
        <v>200</v>
      </c>
      <c r="L10" s="1" t="str">
        <f t="shared" si="4"/>
        <v/>
      </c>
      <c r="M10" t="str">
        <f t="shared" si="5"/>
        <v/>
      </c>
      <c r="N10" s="2">
        <f t="shared" si="6"/>
        <v>200</v>
      </c>
      <c r="AB10" s="1" t="e">
        <f t="shared" si="0"/>
        <v>#N/A</v>
      </c>
      <c r="AC10" t="e">
        <f t="shared" si="1"/>
        <v>#N/A</v>
      </c>
      <c r="AD10" s="2">
        <f t="shared" si="2"/>
        <v>200</v>
      </c>
    </row>
    <row r="11" spans="1:30" x14ac:dyDescent="0.3">
      <c r="A11" t="s">
        <v>62</v>
      </c>
      <c r="B11" t="s">
        <v>63</v>
      </c>
      <c r="C11" t="s">
        <v>88</v>
      </c>
      <c r="E11" t="s">
        <v>7</v>
      </c>
      <c r="F11">
        <v>700</v>
      </c>
      <c r="G11" s="2">
        <v>2030</v>
      </c>
      <c r="I11" s="1" t="s">
        <v>183</v>
      </c>
      <c r="J11" s="2">
        <f t="shared" si="3"/>
        <v>700</v>
      </c>
      <c r="L11" s="1" t="str">
        <f t="shared" si="4"/>
        <v/>
      </c>
      <c r="M11">
        <f t="shared" si="5"/>
        <v>700</v>
      </c>
      <c r="N11" s="2" t="str">
        <f t="shared" si="6"/>
        <v/>
      </c>
      <c r="AB11" s="1" t="e">
        <f t="shared" si="0"/>
        <v>#N/A</v>
      </c>
      <c r="AC11">
        <f t="shared" si="1"/>
        <v>700</v>
      </c>
      <c r="AD11" s="2" t="e">
        <f t="shared" si="2"/>
        <v>#N/A</v>
      </c>
    </row>
    <row r="12" spans="1:30" x14ac:dyDescent="0.3">
      <c r="E12" t="s">
        <v>8</v>
      </c>
      <c r="F12">
        <v>1600</v>
      </c>
      <c r="G12" s="2">
        <v>2030</v>
      </c>
      <c r="I12" s="1" t="s">
        <v>183</v>
      </c>
      <c r="J12" s="2">
        <f t="shared" si="3"/>
        <v>1600</v>
      </c>
      <c r="L12" s="1" t="str">
        <f t="shared" si="4"/>
        <v/>
      </c>
      <c r="M12">
        <f t="shared" si="5"/>
        <v>1600</v>
      </c>
      <c r="N12" s="2" t="str">
        <f t="shared" si="6"/>
        <v/>
      </c>
      <c r="AB12" s="1" t="e">
        <f t="shared" si="0"/>
        <v>#N/A</v>
      </c>
      <c r="AC12">
        <f t="shared" si="1"/>
        <v>1600</v>
      </c>
      <c r="AD12" s="2" t="e">
        <f t="shared" si="2"/>
        <v>#N/A</v>
      </c>
    </row>
    <row r="13" spans="1:30" x14ac:dyDescent="0.3">
      <c r="A13" t="s">
        <v>65</v>
      </c>
      <c r="B13" t="s">
        <v>66</v>
      </c>
      <c r="C13">
        <v>1000</v>
      </c>
      <c r="F13">
        <v>1000</v>
      </c>
      <c r="G13" s="2">
        <v>2018</v>
      </c>
      <c r="I13" s="1" t="s">
        <v>183</v>
      </c>
      <c r="J13" s="2">
        <f t="shared" si="3"/>
        <v>1000</v>
      </c>
      <c r="L13" s="1">
        <f t="shared" si="4"/>
        <v>1000</v>
      </c>
      <c r="M13" t="str">
        <f t="shared" si="5"/>
        <v/>
      </c>
      <c r="N13" s="2" t="str">
        <f t="shared" si="6"/>
        <v/>
      </c>
      <c r="AB13" s="1">
        <f t="shared" si="0"/>
        <v>1000</v>
      </c>
      <c r="AC13" t="e">
        <f t="shared" si="1"/>
        <v>#N/A</v>
      </c>
      <c r="AD13" s="2" t="e">
        <f t="shared" si="2"/>
        <v>#N/A</v>
      </c>
    </row>
    <row r="14" spans="1:30" x14ac:dyDescent="0.3">
      <c r="C14" t="s">
        <v>89</v>
      </c>
      <c r="E14" t="s">
        <v>7</v>
      </c>
      <c r="F14">
        <v>650</v>
      </c>
      <c r="G14" s="2">
        <v>2030</v>
      </c>
      <c r="I14" s="1" t="s">
        <v>183</v>
      </c>
      <c r="J14" s="2">
        <f t="shared" si="3"/>
        <v>650</v>
      </c>
      <c r="L14" s="1" t="str">
        <f t="shared" si="4"/>
        <v/>
      </c>
      <c r="M14">
        <f t="shared" si="5"/>
        <v>650</v>
      </c>
      <c r="N14" s="2" t="str">
        <f t="shared" si="6"/>
        <v/>
      </c>
      <c r="AB14" s="1" t="e">
        <f t="shared" si="0"/>
        <v>#N/A</v>
      </c>
      <c r="AC14">
        <f t="shared" si="1"/>
        <v>650</v>
      </c>
      <c r="AD14" s="2" t="e">
        <f t="shared" si="2"/>
        <v>#N/A</v>
      </c>
    </row>
    <row r="15" spans="1:30" x14ac:dyDescent="0.3">
      <c r="E15" t="s">
        <v>8</v>
      </c>
      <c r="F15">
        <v>750</v>
      </c>
      <c r="G15" s="2">
        <v>2030</v>
      </c>
      <c r="I15" s="1" t="s">
        <v>183</v>
      </c>
      <c r="J15" s="2">
        <f t="shared" si="3"/>
        <v>750</v>
      </c>
      <c r="L15" s="1" t="str">
        <f t="shared" si="4"/>
        <v/>
      </c>
      <c r="M15">
        <f t="shared" si="5"/>
        <v>750</v>
      </c>
      <c r="N15" s="2" t="str">
        <f t="shared" si="6"/>
        <v/>
      </c>
      <c r="AB15" s="1" t="e">
        <f t="shared" si="0"/>
        <v>#N/A</v>
      </c>
      <c r="AC15">
        <f t="shared" si="1"/>
        <v>750</v>
      </c>
      <c r="AD15" s="2" t="e">
        <f t="shared" si="2"/>
        <v>#N/A</v>
      </c>
    </row>
    <row r="16" spans="1:30" x14ac:dyDescent="0.3">
      <c r="A16" t="s">
        <v>90</v>
      </c>
      <c r="B16" t="s">
        <v>91</v>
      </c>
      <c r="C16">
        <v>730</v>
      </c>
      <c r="F16">
        <v>730</v>
      </c>
      <c r="G16" s="2">
        <v>2022</v>
      </c>
      <c r="I16" s="1" t="s">
        <v>183</v>
      </c>
      <c r="J16" s="2">
        <f t="shared" si="3"/>
        <v>730</v>
      </c>
      <c r="L16" s="1">
        <f t="shared" si="4"/>
        <v>730</v>
      </c>
      <c r="M16" t="str">
        <f t="shared" si="5"/>
        <v/>
      </c>
      <c r="N16" s="2" t="str">
        <f t="shared" si="6"/>
        <v/>
      </c>
      <c r="AB16" s="1">
        <f t="shared" si="0"/>
        <v>730</v>
      </c>
      <c r="AC16" t="e">
        <f t="shared" si="1"/>
        <v>#N/A</v>
      </c>
      <c r="AD16" s="2" t="e">
        <f t="shared" si="2"/>
        <v>#N/A</v>
      </c>
    </row>
    <row r="17" spans="1:30" x14ac:dyDescent="0.3">
      <c r="A17" t="s">
        <v>92</v>
      </c>
      <c r="B17" t="s">
        <v>93</v>
      </c>
      <c r="C17">
        <v>430</v>
      </c>
      <c r="F17">
        <v>430</v>
      </c>
      <c r="G17" s="2">
        <v>2030</v>
      </c>
      <c r="I17" s="1" t="s">
        <v>183</v>
      </c>
      <c r="J17" s="2">
        <f t="shared" si="3"/>
        <v>430</v>
      </c>
      <c r="L17" s="1" t="str">
        <f t="shared" si="4"/>
        <v/>
      </c>
      <c r="M17">
        <f t="shared" si="5"/>
        <v>430</v>
      </c>
      <c r="N17" s="2" t="str">
        <f t="shared" si="6"/>
        <v/>
      </c>
      <c r="AB17" s="1" t="e">
        <f t="shared" si="0"/>
        <v>#N/A</v>
      </c>
      <c r="AC17">
        <f t="shared" si="1"/>
        <v>430</v>
      </c>
      <c r="AD17" s="2" t="e">
        <f t="shared" si="2"/>
        <v>#N/A</v>
      </c>
    </row>
    <row r="18" spans="1:30" x14ac:dyDescent="0.3">
      <c r="A18" t="s">
        <v>73</v>
      </c>
      <c r="B18" t="s">
        <v>74</v>
      </c>
      <c r="C18">
        <v>1316</v>
      </c>
      <c r="F18">
        <v>1316</v>
      </c>
      <c r="G18" s="2">
        <v>2021</v>
      </c>
      <c r="I18" s="1" t="s">
        <v>184</v>
      </c>
      <c r="J18" s="2" t="str">
        <f t="shared" si="3"/>
        <v/>
      </c>
      <c r="L18" s="1" t="str">
        <f t="shared" si="4"/>
        <v/>
      </c>
      <c r="M18" t="str">
        <f t="shared" si="5"/>
        <v/>
      </c>
      <c r="N18" s="2" t="str">
        <f t="shared" si="6"/>
        <v/>
      </c>
      <c r="AB18" s="1" t="e">
        <f t="shared" si="0"/>
        <v>#N/A</v>
      </c>
      <c r="AC18" t="e">
        <f t="shared" si="1"/>
        <v>#N/A</v>
      </c>
      <c r="AD18" s="2" t="e">
        <f t="shared" si="2"/>
        <v>#N/A</v>
      </c>
    </row>
    <row r="19" spans="1:30" x14ac:dyDescent="0.3">
      <c r="C19">
        <v>350</v>
      </c>
      <c r="F19">
        <v>350</v>
      </c>
      <c r="G19" s="2">
        <v>2030</v>
      </c>
      <c r="I19" s="1" t="s">
        <v>183</v>
      </c>
      <c r="J19" s="2">
        <f t="shared" si="3"/>
        <v>350</v>
      </c>
      <c r="L19" s="1" t="str">
        <f t="shared" si="4"/>
        <v/>
      </c>
      <c r="M19">
        <f t="shared" si="5"/>
        <v>350</v>
      </c>
      <c r="N19" s="2" t="str">
        <f t="shared" si="6"/>
        <v/>
      </c>
      <c r="AB19" s="1" t="e">
        <f t="shared" si="0"/>
        <v>#N/A</v>
      </c>
      <c r="AC19">
        <f t="shared" si="1"/>
        <v>350</v>
      </c>
      <c r="AD19" s="2" t="e">
        <f t="shared" si="2"/>
        <v>#N/A</v>
      </c>
    </row>
    <row r="20" spans="1:30" x14ac:dyDescent="0.3">
      <c r="A20" t="s">
        <v>94</v>
      </c>
      <c r="B20" t="s">
        <v>95</v>
      </c>
      <c r="C20">
        <v>2000</v>
      </c>
      <c r="F20">
        <v>2000</v>
      </c>
      <c r="G20" s="2">
        <v>2017</v>
      </c>
      <c r="I20" s="1" t="s">
        <v>184</v>
      </c>
      <c r="J20" s="2" t="str">
        <f t="shared" si="3"/>
        <v/>
      </c>
      <c r="L20" s="1" t="str">
        <f t="shared" si="4"/>
        <v/>
      </c>
      <c r="M20" t="str">
        <f t="shared" si="5"/>
        <v/>
      </c>
      <c r="N20" s="2" t="str">
        <f t="shared" si="6"/>
        <v/>
      </c>
      <c r="AB20" s="1" t="e">
        <f t="shared" si="0"/>
        <v>#N/A</v>
      </c>
      <c r="AC20" t="e">
        <f t="shared" si="1"/>
        <v>#N/A</v>
      </c>
      <c r="AD20" s="2" t="e">
        <f t="shared" si="2"/>
        <v>#N/A</v>
      </c>
    </row>
    <row r="21" spans="1:30" x14ac:dyDescent="0.3">
      <c r="F21"/>
      <c r="M21" t="str">
        <f t="shared" si="5"/>
        <v/>
      </c>
      <c r="N21" s="2" t="str">
        <f t="shared" si="6"/>
        <v/>
      </c>
      <c r="AB21" s="1" t="e">
        <f t="shared" si="0"/>
        <v>#N/A</v>
      </c>
      <c r="AC21" t="e">
        <f t="shared" si="1"/>
        <v>#N/A</v>
      </c>
      <c r="AD21" s="2" t="e">
        <f t="shared" si="2"/>
        <v>#N/A</v>
      </c>
    </row>
    <row r="22" spans="1:30" x14ac:dyDescent="0.3">
      <c r="F22"/>
      <c r="M22" t="str">
        <f t="shared" si="5"/>
        <v/>
      </c>
      <c r="N22" s="2" t="str">
        <f t="shared" si="6"/>
        <v/>
      </c>
      <c r="AB22" s="1" t="e">
        <f t="shared" si="0"/>
        <v>#N/A</v>
      </c>
      <c r="AC22" t="e">
        <f t="shared" si="1"/>
        <v>#N/A</v>
      </c>
      <c r="AD22" s="2" t="e">
        <f t="shared" si="2"/>
        <v>#N/A</v>
      </c>
    </row>
    <row r="23" spans="1:30" x14ac:dyDescent="0.3">
      <c r="F23"/>
      <c r="M23" t="str">
        <f t="shared" si="5"/>
        <v/>
      </c>
      <c r="N23" s="2" t="str">
        <f t="shared" si="6"/>
        <v/>
      </c>
      <c r="AB23" s="1" t="e">
        <f t="shared" si="0"/>
        <v>#N/A</v>
      </c>
      <c r="AC23" t="e">
        <f t="shared" si="1"/>
        <v>#N/A</v>
      </c>
      <c r="AD23" s="2" t="e">
        <f t="shared" si="2"/>
        <v>#N/A</v>
      </c>
    </row>
    <row r="24" spans="1:30" x14ac:dyDescent="0.3">
      <c r="F24"/>
      <c r="N24" s="2" t="str">
        <f t="shared" si="6"/>
        <v/>
      </c>
      <c r="AB24" s="1" t="e">
        <f t="shared" si="0"/>
        <v>#N/A</v>
      </c>
      <c r="AC24" t="e">
        <f t="shared" si="1"/>
        <v>#N/A</v>
      </c>
      <c r="AD24" s="2" t="e">
        <f t="shared" si="2"/>
        <v>#N/A</v>
      </c>
    </row>
    <row r="25" spans="1:30" x14ac:dyDescent="0.3">
      <c r="F25"/>
      <c r="N25" s="2" t="str">
        <f t="shared" si="6"/>
        <v/>
      </c>
      <c r="AB25" s="1" t="e">
        <f t="shared" si="0"/>
        <v>#N/A</v>
      </c>
      <c r="AC25" t="e">
        <f t="shared" si="1"/>
        <v>#N/A</v>
      </c>
      <c r="AD25" s="2" t="e">
        <f t="shared" si="2"/>
        <v>#N/A</v>
      </c>
    </row>
    <row r="26" spans="1:30" x14ac:dyDescent="0.3">
      <c r="F26"/>
      <c r="N26" s="2" t="str">
        <f t="shared" si="6"/>
        <v/>
      </c>
      <c r="AB26" s="1" t="e">
        <f t="shared" si="0"/>
        <v>#N/A</v>
      </c>
      <c r="AC26" t="e">
        <f t="shared" si="1"/>
        <v>#N/A</v>
      </c>
      <c r="AD26" s="2" t="e">
        <f t="shared" si="2"/>
        <v>#N/A</v>
      </c>
    </row>
    <row r="27" spans="1:30" x14ac:dyDescent="0.3">
      <c r="F27"/>
      <c r="N27" s="2" t="str">
        <f t="shared" si="6"/>
        <v/>
      </c>
      <c r="AB27" s="1" t="e">
        <f t="shared" si="0"/>
        <v>#N/A</v>
      </c>
      <c r="AC27" t="e">
        <f t="shared" si="1"/>
        <v>#N/A</v>
      </c>
      <c r="AD27" s="2" t="e">
        <f t="shared" si="2"/>
        <v>#N/A</v>
      </c>
    </row>
    <row r="28" spans="1:30" x14ac:dyDescent="0.3">
      <c r="F28"/>
      <c r="N28" s="2" t="str">
        <f t="shared" si="6"/>
        <v/>
      </c>
      <c r="AB28" s="1" t="e">
        <f t="shared" si="0"/>
        <v>#N/A</v>
      </c>
      <c r="AC28" t="e">
        <f t="shared" si="1"/>
        <v>#N/A</v>
      </c>
      <c r="AD28" s="2" t="e">
        <f t="shared" si="2"/>
        <v>#N/A</v>
      </c>
    </row>
    <row r="29" spans="1:30" x14ac:dyDescent="0.3">
      <c r="F29"/>
      <c r="N29" s="2" t="str">
        <f>IF(G29&gt;2039,J29,"")</f>
        <v/>
      </c>
      <c r="AB29" s="1" t="e">
        <f t="shared" si="0"/>
        <v>#N/A</v>
      </c>
      <c r="AC29" t="e">
        <f t="shared" si="1"/>
        <v>#N/A</v>
      </c>
      <c r="AD29" s="2" t="e">
        <f t="shared" si="2"/>
        <v>#N/A</v>
      </c>
    </row>
    <row r="30" spans="1:30" x14ac:dyDescent="0.3">
      <c r="F30"/>
      <c r="N30" s="2" t="str">
        <f t="shared" si="6"/>
        <v/>
      </c>
      <c r="AB30" s="1" t="e">
        <f t="shared" si="0"/>
        <v>#N/A</v>
      </c>
      <c r="AC30" t="e">
        <f t="shared" si="1"/>
        <v>#N/A</v>
      </c>
      <c r="AD30" s="2" t="e">
        <f t="shared" si="2"/>
        <v>#N/A</v>
      </c>
    </row>
    <row r="31" spans="1:30" x14ac:dyDescent="0.3">
      <c r="F31"/>
      <c r="N31" s="2" t="str">
        <f t="shared" si="6"/>
        <v/>
      </c>
      <c r="AB31" s="1" t="e">
        <f t="shared" si="0"/>
        <v>#N/A</v>
      </c>
      <c r="AC31" t="e">
        <f t="shared" si="1"/>
        <v>#N/A</v>
      </c>
      <c r="AD31" s="2" t="e">
        <f t="shared" si="2"/>
        <v>#N/A</v>
      </c>
    </row>
    <row r="32" spans="1:30" x14ac:dyDescent="0.3">
      <c r="F32"/>
      <c r="N32" s="2" t="str">
        <f t="shared" si="6"/>
        <v/>
      </c>
      <c r="AB32" s="1" t="e">
        <f t="shared" si="0"/>
        <v>#N/A</v>
      </c>
      <c r="AC32" t="e">
        <f t="shared" si="1"/>
        <v>#N/A</v>
      </c>
      <c r="AD32" s="2" t="e">
        <f t="shared" si="2"/>
        <v>#N/A</v>
      </c>
    </row>
    <row r="33" spans="6:30" x14ac:dyDescent="0.3">
      <c r="F33"/>
      <c r="N33" s="2" t="str">
        <f t="shared" si="6"/>
        <v/>
      </c>
      <c r="AB33" s="1" t="e">
        <f t="shared" si="0"/>
        <v>#N/A</v>
      </c>
      <c r="AC33" t="e">
        <f t="shared" si="1"/>
        <v>#N/A</v>
      </c>
      <c r="AD33" s="2" t="e">
        <f t="shared" si="2"/>
        <v>#N/A</v>
      </c>
    </row>
    <row r="34" spans="6:30" x14ac:dyDescent="0.3">
      <c r="F34"/>
      <c r="N34" s="2" t="str">
        <f t="shared" si="6"/>
        <v/>
      </c>
      <c r="AB34" s="1" t="e">
        <f t="shared" ref="AB34:AB65" si="7">IF(L34="",NA(),L34)</f>
        <v>#N/A</v>
      </c>
      <c r="AC34" t="e">
        <f t="shared" ref="AC34:AC65" si="8">IF(M34="",NA(),M34)</f>
        <v>#N/A</v>
      </c>
      <c r="AD34" s="2" t="e">
        <f t="shared" ref="AD34:AD65" si="9">IF(N34="",NA(),N34)</f>
        <v>#N/A</v>
      </c>
    </row>
    <row r="35" spans="6:30" x14ac:dyDescent="0.3">
      <c r="F35"/>
      <c r="N35" s="2" t="str">
        <f t="shared" si="6"/>
        <v/>
      </c>
      <c r="AB35" s="1" t="e">
        <f t="shared" si="7"/>
        <v>#N/A</v>
      </c>
      <c r="AC35" t="e">
        <f t="shared" si="8"/>
        <v>#N/A</v>
      </c>
      <c r="AD35" s="2" t="e">
        <f t="shared" si="9"/>
        <v>#N/A</v>
      </c>
    </row>
    <row r="36" spans="6:30" x14ac:dyDescent="0.3">
      <c r="F36"/>
      <c r="N36" s="2" t="str">
        <f t="shared" si="6"/>
        <v/>
      </c>
      <c r="AB36" s="1" t="e">
        <f t="shared" si="7"/>
        <v>#N/A</v>
      </c>
      <c r="AC36" t="e">
        <f t="shared" si="8"/>
        <v>#N/A</v>
      </c>
      <c r="AD36" s="2" t="e">
        <f t="shared" si="9"/>
        <v>#N/A</v>
      </c>
    </row>
    <row r="37" spans="6:30" x14ac:dyDescent="0.3">
      <c r="F37"/>
      <c r="N37" s="2" t="str">
        <f t="shared" si="6"/>
        <v/>
      </c>
      <c r="AB37" s="1" t="e">
        <f t="shared" si="7"/>
        <v>#N/A</v>
      </c>
      <c r="AC37" t="e">
        <f t="shared" si="8"/>
        <v>#N/A</v>
      </c>
      <c r="AD37" s="2" t="e">
        <f t="shared" si="9"/>
        <v>#N/A</v>
      </c>
    </row>
    <row r="38" spans="6:30" x14ac:dyDescent="0.3">
      <c r="F38"/>
      <c r="N38" s="2" t="str">
        <f t="shared" si="6"/>
        <v/>
      </c>
      <c r="AB38" s="1" t="e">
        <f t="shared" si="7"/>
        <v>#N/A</v>
      </c>
      <c r="AC38" t="e">
        <f t="shared" si="8"/>
        <v>#N/A</v>
      </c>
      <c r="AD38" s="2" t="e">
        <f t="shared" si="9"/>
        <v>#N/A</v>
      </c>
    </row>
    <row r="39" spans="6:30" x14ac:dyDescent="0.3">
      <c r="F39"/>
      <c r="N39" s="2" t="str">
        <f t="shared" si="6"/>
        <v/>
      </c>
      <c r="AB39" s="1" t="e">
        <f t="shared" si="7"/>
        <v>#N/A</v>
      </c>
      <c r="AC39" t="e">
        <f t="shared" si="8"/>
        <v>#N/A</v>
      </c>
      <c r="AD39" s="2" t="e">
        <f t="shared" si="9"/>
        <v>#N/A</v>
      </c>
    </row>
    <row r="40" spans="6:30" x14ac:dyDescent="0.3">
      <c r="F40"/>
      <c r="N40" s="2" t="str">
        <f t="shared" si="6"/>
        <v/>
      </c>
      <c r="AB40" s="1" t="e">
        <f t="shared" si="7"/>
        <v>#N/A</v>
      </c>
      <c r="AC40" t="e">
        <f t="shared" si="8"/>
        <v>#N/A</v>
      </c>
      <c r="AD40" s="2" t="e">
        <f t="shared" si="9"/>
        <v>#N/A</v>
      </c>
    </row>
    <row r="41" spans="6:30" x14ac:dyDescent="0.3">
      <c r="F41"/>
      <c r="N41" s="2" t="str">
        <f t="shared" si="6"/>
        <v/>
      </c>
      <c r="AB41" s="1" t="e">
        <f t="shared" si="7"/>
        <v>#N/A</v>
      </c>
      <c r="AC41" t="e">
        <f t="shared" si="8"/>
        <v>#N/A</v>
      </c>
      <c r="AD41" s="2" t="e">
        <f t="shared" si="9"/>
        <v>#N/A</v>
      </c>
    </row>
    <row r="42" spans="6:30" x14ac:dyDescent="0.3">
      <c r="F42"/>
      <c r="N42" s="2" t="str">
        <f t="shared" si="6"/>
        <v/>
      </c>
      <c r="AB42" s="1" t="e">
        <f t="shared" si="7"/>
        <v>#N/A</v>
      </c>
      <c r="AC42" t="e">
        <f t="shared" si="8"/>
        <v>#N/A</v>
      </c>
      <c r="AD42" s="2" t="e">
        <f t="shared" si="9"/>
        <v>#N/A</v>
      </c>
    </row>
    <row r="43" spans="6:30" x14ac:dyDescent="0.3">
      <c r="F43"/>
      <c r="N43" s="2" t="str">
        <f t="shared" si="6"/>
        <v/>
      </c>
      <c r="AB43" s="1" t="e">
        <f t="shared" si="7"/>
        <v>#N/A</v>
      </c>
      <c r="AC43" t="e">
        <f t="shared" si="8"/>
        <v>#N/A</v>
      </c>
      <c r="AD43" s="2" t="e">
        <f t="shared" si="9"/>
        <v>#N/A</v>
      </c>
    </row>
    <row r="44" spans="6:30" x14ac:dyDescent="0.3">
      <c r="F44"/>
      <c r="N44" s="2" t="str">
        <f t="shared" si="6"/>
        <v/>
      </c>
      <c r="AB44" s="1" t="e">
        <f t="shared" si="7"/>
        <v>#N/A</v>
      </c>
      <c r="AC44" t="e">
        <f t="shared" si="8"/>
        <v>#N/A</v>
      </c>
      <c r="AD44" s="2" t="e">
        <f t="shared" si="9"/>
        <v>#N/A</v>
      </c>
    </row>
    <row r="45" spans="6:30" x14ac:dyDescent="0.3">
      <c r="F45"/>
      <c r="N45" s="2" t="str">
        <f t="shared" si="6"/>
        <v/>
      </c>
      <c r="AB45" s="1" t="e">
        <f t="shared" si="7"/>
        <v>#N/A</v>
      </c>
      <c r="AC45" t="e">
        <f t="shared" si="8"/>
        <v>#N/A</v>
      </c>
      <c r="AD45" s="2" t="e">
        <f t="shared" si="9"/>
        <v>#N/A</v>
      </c>
    </row>
    <row r="46" spans="6:30" x14ac:dyDescent="0.3">
      <c r="F46"/>
      <c r="N46" s="2" t="str">
        <f t="shared" si="6"/>
        <v/>
      </c>
      <c r="AB46" s="1" t="e">
        <f t="shared" si="7"/>
        <v>#N/A</v>
      </c>
      <c r="AC46" t="e">
        <f t="shared" si="8"/>
        <v>#N/A</v>
      </c>
      <c r="AD46" s="2" t="e">
        <f t="shared" si="9"/>
        <v>#N/A</v>
      </c>
    </row>
    <row r="47" spans="6:30" x14ac:dyDescent="0.3">
      <c r="F47"/>
      <c r="N47" s="2" t="str">
        <f t="shared" si="6"/>
        <v/>
      </c>
      <c r="AB47" s="1" t="e">
        <f t="shared" si="7"/>
        <v>#N/A</v>
      </c>
      <c r="AC47" t="e">
        <f t="shared" si="8"/>
        <v>#N/A</v>
      </c>
      <c r="AD47" s="2" t="e">
        <f t="shared" si="9"/>
        <v>#N/A</v>
      </c>
    </row>
    <row r="48" spans="6:30" x14ac:dyDescent="0.3">
      <c r="N48" s="2" t="str">
        <f t="shared" si="6"/>
        <v/>
      </c>
      <c r="AB48" s="1" t="e">
        <f t="shared" si="7"/>
        <v>#N/A</v>
      </c>
      <c r="AC48" t="e">
        <f t="shared" si="8"/>
        <v>#N/A</v>
      </c>
      <c r="AD48" s="2" t="e">
        <f t="shared" si="9"/>
        <v>#N/A</v>
      </c>
    </row>
    <row r="49" spans="13:30" x14ac:dyDescent="0.3">
      <c r="N49" s="2" t="str">
        <f t="shared" si="6"/>
        <v/>
      </c>
      <c r="AB49" s="1" t="e">
        <f t="shared" si="7"/>
        <v>#N/A</v>
      </c>
      <c r="AC49" t="e">
        <f t="shared" si="8"/>
        <v>#N/A</v>
      </c>
      <c r="AD49" s="2" t="e">
        <f t="shared" si="9"/>
        <v>#N/A</v>
      </c>
    </row>
    <row r="50" spans="13:30" x14ac:dyDescent="0.3">
      <c r="N50" s="2" t="str">
        <f t="shared" si="6"/>
        <v/>
      </c>
      <c r="AB50" s="1" t="e">
        <f t="shared" si="7"/>
        <v>#N/A</v>
      </c>
      <c r="AC50" t="e">
        <f t="shared" si="8"/>
        <v>#N/A</v>
      </c>
      <c r="AD50" s="2" t="e">
        <f t="shared" si="9"/>
        <v>#N/A</v>
      </c>
    </row>
    <row r="51" spans="13:30" x14ac:dyDescent="0.3">
      <c r="N51" s="2" t="str">
        <f t="shared" si="6"/>
        <v/>
      </c>
      <c r="AB51" s="1" t="e">
        <f t="shared" si="7"/>
        <v>#N/A</v>
      </c>
      <c r="AC51" t="e">
        <f t="shared" si="8"/>
        <v>#N/A</v>
      </c>
      <c r="AD51" s="2" t="e">
        <f t="shared" si="9"/>
        <v>#N/A</v>
      </c>
    </row>
    <row r="52" spans="13:30" x14ac:dyDescent="0.3">
      <c r="N52" s="2" t="str">
        <f t="shared" si="6"/>
        <v/>
      </c>
      <c r="AB52" s="1" t="e">
        <f t="shared" si="7"/>
        <v>#N/A</v>
      </c>
      <c r="AC52" t="e">
        <f t="shared" si="8"/>
        <v>#N/A</v>
      </c>
      <c r="AD52" s="2" t="e">
        <f t="shared" si="9"/>
        <v>#N/A</v>
      </c>
    </row>
    <row r="53" spans="13:30" x14ac:dyDescent="0.3">
      <c r="N53" s="2" t="str">
        <f t="shared" si="6"/>
        <v/>
      </c>
      <c r="AB53" s="1" t="e">
        <f t="shared" si="7"/>
        <v>#N/A</v>
      </c>
      <c r="AC53" t="e">
        <f t="shared" si="8"/>
        <v>#N/A</v>
      </c>
      <c r="AD53" s="2" t="e">
        <f t="shared" si="9"/>
        <v>#N/A</v>
      </c>
    </row>
    <row r="54" spans="13:30" x14ac:dyDescent="0.3">
      <c r="M54" t="str">
        <f t="shared" ref="M54:M85" si="10">IF(G54=2030,F54,"")</f>
        <v/>
      </c>
      <c r="N54" s="2" t="str">
        <f t="shared" si="6"/>
        <v/>
      </c>
      <c r="AB54" s="1" t="e">
        <f t="shared" si="7"/>
        <v>#N/A</v>
      </c>
      <c r="AC54" t="e">
        <f t="shared" si="8"/>
        <v>#N/A</v>
      </c>
      <c r="AD54" s="2" t="e">
        <f t="shared" si="9"/>
        <v>#N/A</v>
      </c>
    </row>
    <row r="55" spans="13:30" x14ac:dyDescent="0.3">
      <c r="M55" t="str">
        <f t="shared" si="10"/>
        <v/>
      </c>
      <c r="N55" s="2" t="str">
        <f t="shared" si="6"/>
        <v/>
      </c>
      <c r="AB55" s="1" t="e">
        <f t="shared" si="7"/>
        <v>#N/A</v>
      </c>
      <c r="AC55" t="e">
        <f t="shared" si="8"/>
        <v>#N/A</v>
      </c>
      <c r="AD55" s="2" t="e">
        <f t="shared" si="9"/>
        <v>#N/A</v>
      </c>
    </row>
    <row r="56" spans="13:30" x14ac:dyDescent="0.3">
      <c r="M56" t="str">
        <f t="shared" si="10"/>
        <v/>
      </c>
      <c r="N56" s="2" t="str">
        <f t="shared" si="6"/>
        <v/>
      </c>
      <c r="AB56" s="1" t="e">
        <f t="shared" si="7"/>
        <v>#N/A</v>
      </c>
      <c r="AC56" t="e">
        <f t="shared" si="8"/>
        <v>#N/A</v>
      </c>
      <c r="AD56" s="2" t="e">
        <f t="shared" si="9"/>
        <v>#N/A</v>
      </c>
    </row>
    <row r="57" spans="13:30" x14ac:dyDescent="0.3">
      <c r="M57" t="str">
        <f t="shared" si="10"/>
        <v/>
      </c>
      <c r="N57" s="2" t="str">
        <f t="shared" si="6"/>
        <v/>
      </c>
      <c r="AB57" s="1" t="e">
        <f t="shared" si="7"/>
        <v>#N/A</v>
      </c>
      <c r="AC57" t="e">
        <f t="shared" si="8"/>
        <v>#N/A</v>
      </c>
      <c r="AD57" s="2" t="e">
        <f t="shared" si="9"/>
        <v>#N/A</v>
      </c>
    </row>
    <row r="58" spans="13:30" x14ac:dyDescent="0.3">
      <c r="M58" t="str">
        <f t="shared" si="10"/>
        <v/>
      </c>
      <c r="N58" s="2" t="str">
        <f t="shared" si="6"/>
        <v/>
      </c>
      <c r="AB58" s="1" t="e">
        <f t="shared" si="7"/>
        <v>#N/A</v>
      </c>
      <c r="AC58" t="e">
        <f t="shared" si="8"/>
        <v>#N/A</v>
      </c>
      <c r="AD58" s="2" t="e">
        <f t="shared" si="9"/>
        <v>#N/A</v>
      </c>
    </row>
    <row r="59" spans="13:30" x14ac:dyDescent="0.3">
      <c r="M59" t="str">
        <f t="shared" si="10"/>
        <v/>
      </c>
      <c r="N59" s="2" t="str">
        <f t="shared" si="6"/>
        <v/>
      </c>
      <c r="AB59" s="1" t="e">
        <f t="shared" si="7"/>
        <v>#N/A</v>
      </c>
      <c r="AC59" t="e">
        <f t="shared" si="8"/>
        <v>#N/A</v>
      </c>
      <c r="AD59" s="2" t="e">
        <f t="shared" si="9"/>
        <v>#N/A</v>
      </c>
    </row>
    <row r="60" spans="13:30" x14ac:dyDescent="0.3">
      <c r="M60" t="str">
        <f t="shared" si="10"/>
        <v/>
      </c>
      <c r="N60" s="2" t="str">
        <f t="shared" si="6"/>
        <v/>
      </c>
      <c r="AB60" s="1" t="e">
        <f t="shared" si="7"/>
        <v>#N/A</v>
      </c>
      <c r="AC60" t="e">
        <f t="shared" si="8"/>
        <v>#N/A</v>
      </c>
      <c r="AD60" s="2" t="e">
        <f t="shared" si="9"/>
        <v>#N/A</v>
      </c>
    </row>
    <row r="61" spans="13:30" x14ac:dyDescent="0.3">
      <c r="M61" t="str">
        <f t="shared" si="10"/>
        <v/>
      </c>
      <c r="N61" s="2" t="str">
        <f t="shared" si="6"/>
        <v/>
      </c>
      <c r="AB61" s="1" t="e">
        <f t="shared" si="7"/>
        <v>#N/A</v>
      </c>
      <c r="AC61" t="e">
        <f t="shared" si="8"/>
        <v>#N/A</v>
      </c>
      <c r="AD61" s="2" t="e">
        <f t="shared" si="9"/>
        <v>#N/A</v>
      </c>
    </row>
    <row r="62" spans="13:30" x14ac:dyDescent="0.3">
      <c r="M62" t="str">
        <f t="shared" si="10"/>
        <v/>
      </c>
      <c r="N62" s="2" t="str">
        <f t="shared" si="6"/>
        <v/>
      </c>
      <c r="AB62" s="1" t="e">
        <f t="shared" si="7"/>
        <v>#N/A</v>
      </c>
      <c r="AC62" t="e">
        <f t="shared" si="8"/>
        <v>#N/A</v>
      </c>
      <c r="AD62" s="2" t="e">
        <f t="shared" si="9"/>
        <v>#N/A</v>
      </c>
    </row>
    <row r="63" spans="13:30" x14ac:dyDescent="0.3">
      <c r="M63" t="str">
        <f t="shared" si="10"/>
        <v/>
      </c>
      <c r="N63" s="2" t="str">
        <f t="shared" si="6"/>
        <v/>
      </c>
      <c r="AB63" s="1" t="e">
        <f t="shared" si="7"/>
        <v>#N/A</v>
      </c>
      <c r="AC63" t="e">
        <f t="shared" si="8"/>
        <v>#N/A</v>
      </c>
      <c r="AD63" s="2" t="e">
        <f t="shared" si="9"/>
        <v>#N/A</v>
      </c>
    </row>
    <row r="64" spans="13:30" x14ac:dyDescent="0.3">
      <c r="M64" t="str">
        <f t="shared" si="10"/>
        <v/>
      </c>
      <c r="N64" s="2" t="str">
        <f t="shared" si="6"/>
        <v/>
      </c>
      <c r="AB64" s="1" t="e">
        <f t="shared" si="7"/>
        <v>#N/A</v>
      </c>
      <c r="AC64" t="e">
        <f t="shared" si="8"/>
        <v>#N/A</v>
      </c>
      <c r="AD64" s="2" t="e">
        <f t="shared" si="9"/>
        <v>#N/A</v>
      </c>
    </row>
    <row r="65" spans="13:30" x14ac:dyDescent="0.3">
      <c r="M65" t="str">
        <f t="shared" si="10"/>
        <v/>
      </c>
      <c r="N65" s="2" t="str">
        <f t="shared" si="6"/>
        <v/>
      </c>
      <c r="AB65" s="1" t="e">
        <f t="shared" si="7"/>
        <v>#N/A</v>
      </c>
      <c r="AC65" t="e">
        <f t="shared" si="8"/>
        <v>#N/A</v>
      </c>
      <c r="AD65" s="2" t="e">
        <f t="shared" si="9"/>
        <v>#N/A</v>
      </c>
    </row>
    <row r="66" spans="13:30" x14ac:dyDescent="0.3">
      <c r="M66" t="str">
        <f t="shared" si="10"/>
        <v/>
      </c>
      <c r="N66" s="2" t="str">
        <f t="shared" si="6"/>
        <v/>
      </c>
      <c r="AB66" s="1" t="e">
        <f t="shared" ref="AB66:AB97" si="11">IF(L66="",NA(),L66)</f>
        <v>#N/A</v>
      </c>
      <c r="AC66" t="e">
        <f t="shared" ref="AC66:AC97" si="12">IF(M66="",NA(),M66)</f>
        <v>#N/A</v>
      </c>
      <c r="AD66" s="2" t="e">
        <f t="shared" ref="AD66:AD97" si="13">IF(N66="",NA(),N66)</f>
        <v>#N/A</v>
      </c>
    </row>
    <row r="67" spans="13:30" x14ac:dyDescent="0.3">
      <c r="M67" t="str">
        <f t="shared" si="10"/>
        <v/>
      </c>
      <c r="N67" s="2" t="str">
        <f t="shared" ref="N67:N99" si="14">IF(G67&gt;2039,J67,"")</f>
        <v/>
      </c>
      <c r="AB67" s="1" t="e">
        <f t="shared" si="11"/>
        <v>#N/A</v>
      </c>
      <c r="AC67" t="e">
        <f t="shared" si="12"/>
        <v>#N/A</v>
      </c>
      <c r="AD67" s="2" t="e">
        <f t="shared" si="13"/>
        <v>#N/A</v>
      </c>
    </row>
    <row r="68" spans="13:30" x14ac:dyDescent="0.3">
      <c r="M68" t="str">
        <f t="shared" si="10"/>
        <v/>
      </c>
      <c r="N68" s="2" t="str">
        <f t="shared" si="14"/>
        <v/>
      </c>
      <c r="AB68" s="1" t="e">
        <f t="shared" si="11"/>
        <v>#N/A</v>
      </c>
      <c r="AC68" t="e">
        <f t="shared" si="12"/>
        <v>#N/A</v>
      </c>
      <c r="AD68" s="2" t="e">
        <f t="shared" si="13"/>
        <v>#N/A</v>
      </c>
    </row>
    <row r="69" spans="13:30" x14ac:dyDescent="0.3">
      <c r="M69" t="str">
        <f t="shared" si="10"/>
        <v/>
      </c>
      <c r="N69" s="2" t="str">
        <f t="shared" si="14"/>
        <v/>
      </c>
      <c r="AB69" s="1" t="e">
        <f t="shared" si="11"/>
        <v>#N/A</v>
      </c>
      <c r="AC69" t="e">
        <f t="shared" si="12"/>
        <v>#N/A</v>
      </c>
      <c r="AD69" s="2" t="e">
        <f t="shared" si="13"/>
        <v>#N/A</v>
      </c>
    </row>
    <row r="70" spans="13:30" x14ac:dyDescent="0.3">
      <c r="M70" t="str">
        <f t="shared" si="10"/>
        <v/>
      </c>
      <c r="N70" s="2" t="str">
        <f t="shared" si="14"/>
        <v/>
      </c>
      <c r="AB70" s="1" t="e">
        <f t="shared" si="11"/>
        <v>#N/A</v>
      </c>
      <c r="AC70" t="e">
        <f t="shared" si="12"/>
        <v>#N/A</v>
      </c>
      <c r="AD70" s="2" t="e">
        <f t="shared" si="13"/>
        <v>#N/A</v>
      </c>
    </row>
    <row r="71" spans="13:30" x14ac:dyDescent="0.3">
      <c r="M71" t="str">
        <f t="shared" si="10"/>
        <v/>
      </c>
      <c r="N71" s="2" t="str">
        <f t="shared" si="14"/>
        <v/>
      </c>
      <c r="AB71" s="1" t="e">
        <f t="shared" si="11"/>
        <v>#N/A</v>
      </c>
      <c r="AC71" t="e">
        <f t="shared" si="12"/>
        <v>#N/A</v>
      </c>
      <c r="AD71" s="2" t="e">
        <f t="shared" si="13"/>
        <v>#N/A</v>
      </c>
    </row>
    <row r="72" spans="13:30" x14ac:dyDescent="0.3">
      <c r="M72" t="str">
        <f t="shared" si="10"/>
        <v/>
      </c>
      <c r="N72" s="2" t="str">
        <f t="shared" si="14"/>
        <v/>
      </c>
      <c r="AB72" s="1" t="e">
        <f t="shared" si="11"/>
        <v>#N/A</v>
      </c>
      <c r="AC72" t="e">
        <f t="shared" si="12"/>
        <v>#N/A</v>
      </c>
      <c r="AD72" s="2" t="e">
        <f t="shared" si="13"/>
        <v>#N/A</v>
      </c>
    </row>
    <row r="73" spans="13:30" x14ac:dyDescent="0.3">
      <c r="M73" t="str">
        <f t="shared" si="10"/>
        <v/>
      </c>
      <c r="N73" s="2" t="str">
        <f t="shared" si="14"/>
        <v/>
      </c>
      <c r="AB73" s="1" t="e">
        <f t="shared" si="11"/>
        <v>#N/A</v>
      </c>
      <c r="AC73" t="e">
        <f t="shared" si="12"/>
        <v>#N/A</v>
      </c>
      <c r="AD73" s="2" t="e">
        <f t="shared" si="13"/>
        <v>#N/A</v>
      </c>
    </row>
    <row r="74" spans="13:30" x14ac:dyDescent="0.3">
      <c r="M74" t="str">
        <f t="shared" si="10"/>
        <v/>
      </c>
      <c r="N74" s="2" t="str">
        <f t="shared" si="14"/>
        <v/>
      </c>
      <c r="AB74" s="1" t="e">
        <f t="shared" si="11"/>
        <v>#N/A</v>
      </c>
      <c r="AC74" t="e">
        <f t="shared" si="12"/>
        <v>#N/A</v>
      </c>
      <c r="AD74" s="2" t="e">
        <f t="shared" si="13"/>
        <v>#N/A</v>
      </c>
    </row>
    <row r="75" spans="13:30" x14ac:dyDescent="0.3">
      <c r="M75" t="str">
        <f t="shared" si="10"/>
        <v/>
      </c>
      <c r="N75" s="2" t="str">
        <f t="shared" si="14"/>
        <v/>
      </c>
      <c r="AB75" s="1" t="e">
        <f t="shared" si="11"/>
        <v>#N/A</v>
      </c>
      <c r="AC75" t="e">
        <f t="shared" si="12"/>
        <v>#N/A</v>
      </c>
      <c r="AD75" s="2" t="e">
        <f t="shared" si="13"/>
        <v>#N/A</v>
      </c>
    </row>
    <row r="76" spans="13:30" x14ac:dyDescent="0.3">
      <c r="M76" t="str">
        <f t="shared" si="10"/>
        <v/>
      </c>
      <c r="N76" s="2" t="str">
        <f t="shared" si="14"/>
        <v/>
      </c>
      <c r="AB76" s="1" t="e">
        <f t="shared" si="11"/>
        <v>#N/A</v>
      </c>
      <c r="AC76" t="e">
        <f t="shared" si="12"/>
        <v>#N/A</v>
      </c>
      <c r="AD76" s="2" t="e">
        <f t="shared" si="13"/>
        <v>#N/A</v>
      </c>
    </row>
    <row r="77" spans="13:30" x14ac:dyDescent="0.3">
      <c r="M77" t="str">
        <f t="shared" si="10"/>
        <v/>
      </c>
      <c r="N77" s="2" t="str">
        <f t="shared" si="14"/>
        <v/>
      </c>
      <c r="AB77" s="1" t="e">
        <f t="shared" si="11"/>
        <v>#N/A</v>
      </c>
      <c r="AC77" t="e">
        <f t="shared" si="12"/>
        <v>#N/A</v>
      </c>
      <c r="AD77" s="2" t="e">
        <f t="shared" si="13"/>
        <v>#N/A</v>
      </c>
    </row>
    <row r="78" spans="13:30" x14ac:dyDescent="0.3">
      <c r="M78" t="str">
        <f t="shared" si="10"/>
        <v/>
      </c>
      <c r="N78" s="2" t="str">
        <f t="shared" si="14"/>
        <v/>
      </c>
      <c r="AB78" s="1" t="e">
        <f t="shared" si="11"/>
        <v>#N/A</v>
      </c>
      <c r="AC78" t="e">
        <f t="shared" si="12"/>
        <v>#N/A</v>
      </c>
      <c r="AD78" s="2" t="e">
        <f t="shared" si="13"/>
        <v>#N/A</v>
      </c>
    </row>
    <row r="79" spans="13:30" x14ac:dyDescent="0.3">
      <c r="M79" t="str">
        <f t="shared" si="10"/>
        <v/>
      </c>
      <c r="N79" s="2" t="str">
        <f t="shared" si="14"/>
        <v/>
      </c>
      <c r="AB79" s="1" t="e">
        <f t="shared" si="11"/>
        <v>#N/A</v>
      </c>
      <c r="AC79" t="e">
        <f t="shared" si="12"/>
        <v>#N/A</v>
      </c>
      <c r="AD79" s="2" t="e">
        <f t="shared" si="13"/>
        <v>#N/A</v>
      </c>
    </row>
    <row r="80" spans="13:30" x14ac:dyDescent="0.3">
      <c r="M80" t="str">
        <f t="shared" si="10"/>
        <v/>
      </c>
      <c r="N80" s="2" t="str">
        <f t="shared" si="14"/>
        <v/>
      </c>
      <c r="AB80" s="1" t="e">
        <f t="shared" si="11"/>
        <v>#N/A</v>
      </c>
      <c r="AC80" t="e">
        <f t="shared" si="12"/>
        <v>#N/A</v>
      </c>
      <c r="AD80" s="2" t="e">
        <f t="shared" si="13"/>
        <v>#N/A</v>
      </c>
    </row>
    <row r="81" spans="13:30" x14ac:dyDescent="0.3">
      <c r="M81" t="str">
        <f t="shared" si="10"/>
        <v/>
      </c>
      <c r="N81" s="2" t="str">
        <f t="shared" si="14"/>
        <v/>
      </c>
      <c r="AB81" s="1" t="e">
        <f t="shared" si="11"/>
        <v>#N/A</v>
      </c>
      <c r="AC81" t="e">
        <f t="shared" si="12"/>
        <v>#N/A</v>
      </c>
      <c r="AD81" s="2" t="e">
        <f t="shared" si="13"/>
        <v>#N/A</v>
      </c>
    </row>
    <row r="82" spans="13:30" x14ac:dyDescent="0.3">
      <c r="M82" t="str">
        <f t="shared" si="10"/>
        <v/>
      </c>
      <c r="N82" s="2" t="str">
        <f t="shared" si="14"/>
        <v/>
      </c>
      <c r="AB82" s="1" t="e">
        <f t="shared" si="11"/>
        <v>#N/A</v>
      </c>
      <c r="AC82" t="e">
        <f t="shared" si="12"/>
        <v>#N/A</v>
      </c>
      <c r="AD82" s="2" t="e">
        <f t="shared" si="13"/>
        <v>#N/A</v>
      </c>
    </row>
    <row r="83" spans="13:30" x14ac:dyDescent="0.3">
      <c r="M83" t="str">
        <f t="shared" si="10"/>
        <v/>
      </c>
      <c r="N83" s="2" t="str">
        <f t="shared" si="14"/>
        <v/>
      </c>
      <c r="AB83" s="1" t="e">
        <f t="shared" si="11"/>
        <v>#N/A</v>
      </c>
      <c r="AC83" t="e">
        <f t="shared" si="12"/>
        <v>#N/A</v>
      </c>
      <c r="AD83" s="2" t="e">
        <f t="shared" si="13"/>
        <v>#N/A</v>
      </c>
    </row>
    <row r="84" spans="13:30" x14ac:dyDescent="0.3">
      <c r="M84" t="str">
        <f t="shared" si="10"/>
        <v/>
      </c>
      <c r="N84" s="2" t="str">
        <f t="shared" si="14"/>
        <v/>
      </c>
      <c r="AB84" s="1" t="e">
        <f t="shared" si="11"/>
        <v>#N/A</v>
      </c>
      <c r="AC84" t="e">
        <f t="shared" si="12"/>
        <v>#N/A</v>
      </c>
      <c r="AD84" s="2" t="e">
        <f t="shared" si="13"/>
        <v>#N/A</v>
      </c>
    </row>
    <row r="85" spans="13:30" x14ac:dyDescent="0.3">
      <c r="M85" t="str">
        <f t="shared" si="10"/>
        <v/>
      </c>
      <c r="N85" s="2" t="str">
        <f t="shared" si="14"/>
        <v/>
      </c>
      <c r="AB85" s="1" t="e">
        <f t="shared" si="11"/>
        <v>#N/A</v>
      </c>
      <c r="AC85" t="e">
        <f t="shared" si="12"/>
        <v>#N/A</v>
      </c>
      <c r="AD85" s="2" t="e">
        <f t="shared" si="13"/>
        <v>#N/A</v>
      </c>
    </row>
    <row r="86" spans="13:30" x14ac:dyDescent="0.3">
      <c r="M86" t="str">
        <f t="shared" ref="M86:M117" si="15">IF(G86=2030,F86,"")</f>
        <v/>
      </c>
      <c r="N86" s="2" t="str">
        <f t="shared" si="14"/>
        <v/>
      </c>
      <c r="AB86" s="1" t="e">
        <f t="shared" si="11"/>
        <v>#N/A</v>
      </c>
      <c r="AC86" t="e">
        <f t="shared" si="12"/>
        <v>#N/A</v>
      </c>
      <c r="AD86" s="2" t="e">
        <f t="shared" si="13"/>
        <v>#N/A</v>
      </c>
    </row>
    <row r="87" spans="13:30" x14ac:dyDescent="0.3">
      <c r="M87" t="str">
        <f t="shared" si="15"/>
        <v/>
      </c>
      <c r="N87" s="2" t="str">
        <f t="shared" si="14"/>
        <v/>
      </c>
      <c r="AB87" s="1" t="e">
        <f t="shared" si="11"/>
        <v>#N/A</v>
      </c>
      <c r="AC87" t="e">
        <f t="shared" si="12"/>
        <v>#N/A</v>
      </c>
      <c r="AD87" s="2" t="e">
        <f t="shared" si="13"/>
        <v>#N/A</v>
      </c>
    </row>
    <row r="88" spans="13:30" x14ac:dyDescent="0.3">
      <c r="M88" t="str">
        <f t="shared" si="15"/>
        <v/>
      </c>
      <c r="N88" s="2" t="str">
        <f t="shared" si="14"/>
        <v/>
      </c>
      <c r="AB88" s="1" t="e">
        <f t="shared" si="11"/>
        <v>#N/A</v>
      </c>
      <c r="AC88" t="e">
        <f t="shared" si="12"/>
        <v>#N/A</v>
      </c>
      <c r="AD88" s="2" t="e">
        <f t="shared" si="13"/>
        <v>#N/A</v>
      </c>
    </row>
    <row r="89" spans="13:30" x14ac:dyDescent="0.3">
      <c r="M89" t="str">
        <f t="shared" si="15"/>
        <v/>
      </c>
      <c r="N89" s="2" t="str">
        <f t="shared" si="14"/>
        <v/>
      </c>
      <c r="AB89" s="1" t="e">
        <f t="shared" si="11"/>
        <v>#N/A</v>
      </c>
      <c r="AC89" t="e">
        <f t="shared" si="12"/>
        <v>#N/A</v>
      </c>
      <c r="AD89" s="2" t="e">
        <f t="shared" si="13"/>
        <v>#N/A</v>
      </c>
    </row>
    <row r="90" spans="13:30" x14ac:dyDescent="0.3">
      <c r="M90" t="str">
        <f t="shared" si="15"/>
        <v/>
      </c>
      <c r="N90" s="2" t="str">
        <f t="shared" si="14"/>
        <v/>
      </c>
      <c r="AB90" s="1" t="e">
        <f t="shared" si="11"/>
        <v>#N/A</v>
      </c>
      <c r="AC90" t="e">
        <f t="shared" si="12"/>
        <v>#N/A</v>
      </c>
      <c r="AD90" s="2" t="e">
        <f t="shared" si="13"/>
        <v>#N/A</v>
      </c>
    </row>
    <row r="91" spans="13:30" x14ac:dyDescent="0.3">
      <c r="M91" t="str">
        <f t="shared" si="15"/>
        <v/>
      </c>
      <c r="N91" s="2" t="str">
        <f t="shared" si="14"/>
        <v/>
      </c>
      <c r="AB91" s="1" t="e">
        <f t="shared" si="11"/>
        <v>#N/A</v>
      </c>
      <c r="AC91" t="e">
        <f t="shared" si="12"/>
        <v>#N/A</v>
      </c>
      <c r="AD91" s="2" t="e">
        <f t="shared" si="13"/>
        <v>#N/A</v>
      </c>
    </row>
    <row r="92" spans="13:30" x14ac:dyDescent="0.3">
      <c r="M92" t="str">
        <f t="shared" si="15"/>
        <v/>
      </c>
      <c r="N92" s="2" t="str">
        <f t="shared" si="14"/>
        <v/>
      </c>
      <c r="AB92" s="1" t="e">
        <f t="shared" si="11"/>
        <v>#N/A</v>
      </c>
      <c r="AC92" t="e">
        <f t="shared" si="12"/>
        <v>#N/A</v>
      </c>
      <c r="AD92" s="2" t="e">
        <f t="shared" si="13"/>
        <v>#N/A</v>
      </c>
    </row>
    <row r="93" spans="13:30" x14ac:dyDescent="0.3">
      <c r="M93" t="str">
        <f t="shared" si="15"/>
        <v/>
      </c>
      <c r="N93" s="2" t="str">
        <f t="shared" si="14"/>
        <v/>
      </c>
      <c r="AB93" s="1" t="e">
        <f t="shared" si="11"/>
        <v>#N/A</v>
      </c>
      <c r="AC93" t="e">
        <f t="shared" si="12"/>
        <v>#N/A</v>
      </c>
      <c r="AD93" s="2" t="e">
        <f t="shared" si="13"/>
        <v>#N/A</v>
      </c>
    </row>
    <row r="94" spans="13:30" x14ac:dyDescent="0.3">
      <c r="M94" t="str">
        <f t="shared" si="15"/>
        <v/>
      </c>
      <c r="N94" s="2" t="str">
        <f t="shared" si="14"/>
        <v/>
      </c>
      <c r="AB94" s="1" t="e">
        <f t="shared" si="11"/>
        <v>#N/A</v>
      </c>
      <c r="AC94" t="e">
        <f t="shared" si="12"/>
        <v>#N/A</v>
      </c>
      <c r="AD94" s="2" t="e">
        <f t="shared" si="13"/>
        <v>#N/A</v>
      </c>
    </row>
    <row r="95" spans="13:30" x14ac:dyDescent="0.3">
      <c r="M95" t="str">
        <f t="shared" si="15"/>
        <v/>
      </c>
      <c r="N95" s="2" t="str">
        <f t="shared" si="14"/>
        <v/>
      </c>
      <c r="AB95" s="1" t="e">
        <f t="shared" si="11"/>
        <v>#N/A</v>
      </c>
      <c r="AC95" t="e">
        <f t="shared" si="12"/>
        <v>#N/A</v>
      </c>
      <c r="AD95" s="2" t="e">
        <f t="shared" si="13"/>
        <v>#N/A</v>
      </c>
    </row>
    <row r="96" spans="13:30" x14ac:dyDescent="0.3">
      <c r="M96" t="str">
        <f t="shared" si="15"/>
        <v/>
      </c>
      <c r="N96" s="2" t="str">
        <f t="shared" si="14"/>
        <v/>
      </c>
      <c r="AB96" s="1" t="e">
        <f t="shared" si="11"/>
        <v>#N/A</v>
      </c>
      <c r="AC96" t="e">
        <f t="shared" si="12"/>
        <v>#N/A</v>
      </c>
      <c r="AD96" s="2" t="e">
        <f t="shared" si="13"/>
        <v>#N/A</v>
      </c>
    </row>
    <row r="97" spans="13:30" x14ac:dyDescent="0.3">
      <c r="M97" t="str">
        <f t="shared" si="15"/>
        <v/>
      </c>
      <c r="N97" s="2" t="str">
        <f t="shared" si="14"/>
        <v/>
      </c>
      <c r="AB97" s="1" t="e">
        <f t="shared" si="11"/>
        <v>#N/A</v>
      </c>
      <c r="AC97" t="e">
        <f t="shared" si="12"/>
        <v>#N/A</v>
      </c>
      <c r="AD97" s="2" t="e">
        <f t="shared" si="13"/>
        <v>#N/A</v>
      </c>
    </row>
    <row r="98" spans="13:30" x14ac:dyDescent="0.3">
      <c r="M98" t="str">
        <f t="shared" si="15"/>
        <v/>
      </c>
      <c r="N98" s="2" t="str">
        <f t="shared" si="14"/>
        <v/>
      </c>
      <c r="AB98" s="1" t="e">
        <f t="shared" ref="AB98:AB120" si="16">IF(L98="",NA(),L98)</f>
        <v>#N/A</v>
      </c>
      <c r="AC98" t="e">
        <f t="shared" ref="AC98:AC120" si="17">IF(M98="",NA(),M98)</f>
        <v>#N/A</v>
      </c>
      <c r="AD98" s="2" t="e">
        <f t="shared" ref="AD98:AD120" si="18">IF(N98="",NA(),N98)</f>
        <v>#N/A</v>
      </c>
    </row>
    <row r="99" spans="13:30" x14ac:dyDescent="0.3">
      <c r="M99" t="str">
        <f t="shared" si="15"/>
        <v/>
      </c>
      <c r="N99" s="2" t="str">
        <f t="shared" si="14"/>
        <v/>
      </c>
      <c r="AB99" s="1" t="e">
        <f t="shared" si="16"/>
        <v>#N/A</v>
      </c>
      <c r="AC99" t="e">
        <f t="shared" si="17"/>
        <v>#N/A</v>
      </c>
      <c r="AD99" s="2" t="e">
        <f t="shared" si="18"/>
        <v>#N/A</v>
      </c>
    </row>
    <row r="100" spans="13:30" x14ac:dyDescent="0.3">
      <c r="M100" t="str">
        <f t="shared" si="15"/>
        <v/>
      </c>
      <c r="AB100" s="1" t="e">
        <f t="shared" si="16"/>
        <v>#N/A</v>
      </c>
      <c r="AC100" t="e">
        <f t="shared" si="17"/>
        <v>#N/A</v>
      </c>
      <c r="AD100" s="2" t="e">
        <f t="shared" si="18"/>
        <v>#N/A</v>
      </c>
    </row>
    <row r="101" spans="13:30" x14ac:dyDescent="0.3">
      <c r="M101" t="str">
        <f t="shared" si="15"/>
        <v/>
      </c>
      <c r="AB101" s="1" t="e">
        <f t="shared" si="16"/>
        <v>#N/A</v>
      </c>
      <c r="AC101" t="e">
        <f t="shared" si="17"/>
        <v>#N/A</v>
      </c>
      <c r="AD101" s="2" t="e">
        <f t="shared" si="18"/>
        <v>#N/A</v>
      </c>
    </row>
    <row r="102" spans="13:30" x14ac:dyDescent="0.3">
      <c r="M102" t="str">
        <f t="shared" si="15"/>
        <v/>
      </c>
      <c r="AB102" s="1" t="e">
        <f t="shared" si="16"/>
        <v>#N/A</v>
      </c>
      <c r="AC102" t="e">
        <f t="shared" si="17"/>
        <v>#N/A</v>
      </c>
      <c r="AD102" s="2" t="e">
        <f t="shared" si="18"/>
        <v>#N/A</v>
      </c>
    </row>
    <row r="103" spans="13:30" x14ac:dyDescent="0.3">
      <c r="M103" t="str">
        <f t="shared" si="15"/>
        <v/>
      </c>
      <c r="AB103" s="1" t="e">
        <f t="shared" si="16"/>
        <v>#N/A</v>
      </c>
      <c r="AC103" t="e">
        <f t="shared" si="17"/>
        <v>#N/A</v>
      </c>
      <c r="AD103" s="2" t="e">
        <f t="shared" si="18"/>
        <v>#N/A</v>
      </c>
    </row>
    <row r="104" spans="13:30" x14ac:dyDescent="0.3">
      <c r="M104" t="str">
        <f t="shared" si="15"/>
        <v/>
      </c>
      <c r="AB104" s="1" t="e">
        <f t="shared" si="16"/>
        <v>#N/A</v>
      </c>
      <c r="AC104" t="e">
        <f t="shared" si="17"/>
        <v>#N/A</v>
      </c>
      <c r="AD104" s="2" t="e">
        <f t="shared" si="18"/>
        <v>#N/A</v>
      </c>
    </row>
    <row r="105" spans="13:30" x14ac:dyDescent="0.3">
      <c r="M105" t="str">
        <f t="shared" si="15"/>
        <v/>
      </c>
      <c r="AB105" s="1" t="e">
        <f t="shared" si="16"/>
        <v>#N/A</v>
      </c>
      <c r="AC105" t="e">
        <f t="shared" si="17"/>
        <v>#N/A</v>
      </c>
      <c r="AD105" s="2" t="e">
        <f t="shared" si="18"/>
        <v>#N/A</v>
      </c>
    </row>
    <row r="106" spans="13:30" x14ac:dyDescent="0.3">
      <c r="M106" t="str">
        <f t="shared" si="15"/>
        <v/>
      </c>
      <c r="AB106" s="1" t="e">
        <f t="shared" si="16"/>
        <v>#N/A</v>
      </c>
      <c r="AC106" t="e">
        <f t="shared" si="17"/>
        <v>#N/A</v>
      </c>
      <c r="AD106" s="2" t="e">
        <f t="shared" si="18"/>
        <v>#N/A</v>
      </c>
    </row>
    <row r="107" spans="13:30" x14ac:dyDescent="0.3">
      <c r="M107" t="str">
        <f t="shared" si="15"/>
        <v/>
      </c>
      <c r="AB107" s="1" t="e">
        <f t="shared" si="16"/>
        <v>#N/A</v>
      </c>
      <c r="AC107" t="e">
        <f t="shared" si="17"/>
        <v>#N/A</v>
      </c>
      <c r="AD107" s="2" t="e">
        <f t="shared" si="18"/>
        <v>#N/A</v>
      </c>
    </row>
    <row r="108" spans="13:30" x14ac:dyDescent="0.3">
      <c r="M108" t="str">
        <f t="shared" si="15"/>
        <v/>
      </c>
      <c r="AB108" s="1" t="e">
        <f t="shared" si="16"/>
        <v>#N/A</v>
      </c>
      <c r="AC108" t="e">
        <f t="shared" si="17"/>
        <v>#N/A</v>
      </c>
      <c r="AD108" s="2" t="e">
        <f t="shared" si="18"/>
        <v>#N/A</v>
      </c>
    </row>
    <row r="109" spans="13:30" x14ac:dyDescent="0.3">
      <c r="M109" t="str">
        <f t="shared" si="15"/>
        <v/>
      </c>
      <c r="AB109" s="1" t="e">
        <f t="shared" si="16"/>
        <v>#N/A</v>
      </c>
      <c r="AC109" t="e">
        <f t="shared" si="17"/>
        <v>#N/A</v>
      </c>
      <c r="AD109" s="2" t="e">
        <f t="shared" si="18"/>
        <v>#N/A</v>
      </c>
    </row>
    <row r="110" spans="13:30" x14ac:dyDescent="0.3">
      <c r="M110" t="str">
        <f t="shared" si="15"/>
        <v/>
      </c>
      <c r="AB110" s="1" t="e">
        <f t="shared" si="16"/>
        <v>#N/A</v>
      </c>
      <c r="AC110" t="e">
        <f t="shared" si="17"/>
        <v>#N/A</v>
      </c>
      <c r="AD110" s="2" t="e">
        <f t="shared" si="18"/>
        <v>#N/A</v>
      </c>
    </row>
    <row r="111" spans="13:30" x14ac:dyDescent="0.3">
      <c r="M111" t="str">
        <f t="shared" si="15"/>
        <v/>
      </c>
      <c r="AB111" s="1" t="e">
        <f t="shared" si="16"/>
        <v>#N/A</v>
      </c>
      <c r="AC111" t="e">
        <f t="shared" si="17"/>
        <v>#N/A</v>
      </c>
      <c r="AD111" s="2" t="e">
        <f t="shared" si="18"/>
        <v>#N/A</v>
      </c>
    </row>
    <row r="112" spans="13:30" x14ac:dyDescent="0.3">
      <c r="M112" t="str">
        <f t="shared" si="15"/>
        <v/>
      </c>
      <c r="AB112" s="1" t="e">
        <f t="shared" si="16"/>
        <v>#N/A</v>
      </c>
      <c r="AC112" t="e">
        <f t="shared" si="17"/>
        <v>#N/A</v>
      </c>
      <c r="AD112" s="2" t="e">
        <f t="shared" si="18"/>
        <v>#N/A</v>
      </c>
    </row>
    <row r="113" spans="13:30" x14ac:dyDescent="0.3">
      <c r="M113" t="str">
        <f t="shared" si="15"/>
        <v/>
      </c>
      <c r="AB113" s="1" t="e">
        <f t="shared" si="16"/>
        <v>#N/A</v>
      </c>
      <c r="AC113" t="e">
        <f t="shared" si="17"/>
        <v>#N/A</v>
      </c>
      <c r="AD113" s="2" t="e">
        <f t="shared" si="18"/>
        <v>#N/A</v>
      </c>
    </row>
    <row r="114" spans="13:30" x14ac:dyDescent="0.3">
      <c r="M114" t="str">
        <f t="shared" si="15"/>
        <v/>
      </c>
      <c r="AB114" s="1" t="e">
        <f t="shared" si="16"/>
        <v>#N/A</v>
      </c>
      <c r="AC114" t="e">
        <f t="shared" si="17"/>
        <v>#N/A</v>
      </c>
      <c r="AD114" s="2" t="e">
        <f t="shared" si="18"/>
        <v>#N/A</v>
      </c>
    </row>
    <row r="115" spans="13:30" x14ac:dyDescent="0.3">
      <c r="M115" t="str">
        <f t="shared" si="15"/>
        <v/>
      </c>
      <c r="AB115" s="1" t="e">
        <f t="shared" si="16"/>
        <v>#N/A</v>
      </c>
      <c r="AC115" t="e">
        <f t="shared" si="17"/>
        <v>#N/A</v>
      </c>
      <c r="AD115" s="2" t="e">
        <f t="shared" si="18"/>
        <v>#N/A</v>
      </c>
    </row>
    <row r="116" spans="13:30" x14ac:dyDescent="0.3">
      <c r="M116" t="str">
        <f t="shared" si="15"/>
        <v/>
      </c>
      <c r="AB116" s="1" t="e">
        <f t="shared" si="16"/>
        <v>#N/A</v>
      </c>
      <c r="AC116" t="e">
        <f t="shared" si="17"/>
        <v>#N/A</v>
      </c>
      <c r="AD116" s="2" t="e">
        <f t="shared" si="18"/>
        <v>#N/A</v>
      </c>
    </row>
    <row r="117" spans="13:30" x14ac:dyDescent="0.3">
      <c r="M117" t="str">
        <f t="shared" si="15"/>
        <v/>
      </c>
      <c r="AB117" s="1" t="e">
        <f t="shared" si="16"/>
        <v>#N/A</v>
      </c>
      <c r="AC117" t="e">
        <f t="shared" si="17"/>
        <v>#N/A</v>
      </c>
      <c r="AD117" s="2" t="e">
        <f t="shared" si="18"/>
        <v>#N/A</v>
      </c>
    </row>
    <row r="118" spans="13:30" x14ac:dyDescent="0.3">
      <c r="M118" t="str">
        <f t="shared" ref="M118:M134" si="19">IF(G118=2030,F118,"")</f>
        <v/>
      </c>
      <c r="AB118" s="1" t="e">
        <f t="shared" si="16"/>
        <v>#N/A</v>
      </c>
      <c r="AC118" t="e">
        <f t="shared" si="17"/>
        <v>#N/A</v>
      </c>
      <c r="AD118" s="2" t="e">
        <f t="shared" si="18"/>
        <v>#N/A</v>
      </c>
    </row>
    <row r="119" spans="13:30" x14ac:dyDescent="0.3">
      <c r="M119" t="str">
        <f t="shared" si="19"/>
        <v/>
      </c>
      <c r="AB119" s="1" t="e">
        <f t="shared" si="16"/>
        <v>#N/A</v>
      </c>
      <c r="AC119" t="e">
        <f t="shared" si="17"/>
        <v>#N/A</v>
      </c>
      <c r="AD119" s="2" t="e">
        <f t="shared" si="18"/>
        <v>#N/A</v>
      </c>
    </row>
    <row r="120" spans="13:30" x14ac:dyDescent="0.3">
      <c r="M120" t="str">
        <f t="shared" si="19"/>
        <v/>
      </c>
      <c r="AB120" s="1" t="e">
        <f t="shared" si="16"/>
        <v>#N/A</v>
      </c>
      <c r="AC120" t="e">
        <f t="shared" si="17"/>
        <v>#N/A</v>
      </c>
      <c r="AD120" s="2" t="e">
        <f t="shared" si="18"/>
        <v>#N/A</v>
      </c>
    </row>
    <row r="121" spans="13:30" x14ac:dyDescent="0.3">
      <c r="M121" t="str">
        <f t="shared" si="19"/>
        <v/>
      </c>
      <c r="AC121" t="str">
        <f t="shared" ref="AC121:AC134" si="20">IF(V121=2030,S121,"")</f>
        <v/>
      </c>
    </row>
    <row r="122" spans="13:30" x14ac:dyDescent="0.3">
      <c r="M122" t="str">
        <f t="shared" si="19"/>
        <v/>
      </c>
      <c r="AC122" t="str">
        <f t="shared" si="20"/>
        <v/>
      </c>
    </row>
    <row r="123" spans="13:30" x14ac:dyDescent="0.3">
      <c r="M123" t="str">
        <f t="shared" si="19"/>
        <v/>
      </c>
      <c r="AC123" t="str">
        <f t="shared" si="20"/>
        <v/>
      </c>
    </row>
    <row r="124" spans="13:30" x14ac:dyDescent="0.3">
      <c r="M124" t="str">
        <f t="shared" si="19"/>
        <v/>
      </c>
      <c r="AC124" t="str">
        <f t="shared" si="20"/>
        <v/>
      </c>
    </row>
    <row r="125" spans="13:30" x14ac:dyDescent="0.3">
      <c r="M125" t="str">
        <f t="shared" si="19"/>
        <v/>
      </c>
      <c r="AC125" t="str">
        <f t="shared" si="20"/>
        <v/>
      </c>
    </row>
    <row r="126" spans="13:30" x14ac:dyDescent="0.3">
      <c r="M126" t="str">
        <f t="shared" si="19"/>
        <v/>
      </c>
      <c r="AC126" t="str">
        <f t="shared" si="20"/>
        <v/>
      </c>
    </row>
    <row r="127" spans="13:30" x14ac:dyDescent="0.3">
      <c r="M127" t="str">
        <f t="shared" si="19"/>
        <v/>
      </c>
      <c r="AC127" t="str">
        <f t="shared" si="20"/>
        <v/>
      </c>
    </row>
    <row r="128" spans="13:30" x14ac:dyDescent="0.3">
      <c r="M128" t="str">
        <f t="shared" si="19"/>
        <v/>
      </c>
      <c r="AC128" t="str">
        <f t="shared" si="20"/>
        <v/>
      </c>
    </row>
    <row r="129" spans="13:29" x14ac:dyDescent="0.3">
      <c r="M129" t="str">
        <f t="shared" si="19"/>
        <v/>
      </c>
      <c r="AC129" t="str">
        <f t="shared" si="20"/>
        <v/>
      </c>
    </row>
    <row r="130" spans="13:29" x14ac:dyDescent="0.3">
      <c r="M130" t="str">
        <f t="shared" si="19"/>
        <v/>
      </c>
      <c r="AC130" t="str">
        <f t="shared" si="20"/>
        <v/>
      </c>
    </row>
    <row r="131" spans="13:29" x14ac:dyDescent="0.3">
      <c r="M131" t="str">
        <f t="shared" si="19"/>
        <v/>
      </c>
      <c r="AC131" t="str">
        <f t="shared" si="20"/>
        <v/>
      </c>
    </row>
    <row r="132" spans="13:29" x14ac:dyDescent="0.3">
      <c r="M132" t="str">
        <f t="shared" si="19"/>
        <v/>
      </c>
      <c r="AC132" t="str">
        <f t="shared" si="20"/>
        <v/>
      </c>
    </row>
    <row r="133" spans="13:29" x14ac:dyDescent="0.3">
      <c r="M133" t="str">
        <f t="shared" si="19"/>
        <v/>
      </c>
      <c r="AC133" t="str">
        <f t="shared" si="20"/>
        <v/>
      </c>
    </row>
    <row r="134" spans="13:29" x14ac:dyDescent="0.3">
      <c r="M134" t="str">
        <f t="shared" si="19"/>
        <v/>
      </c>
      <c r="AC134" t="str">
        <f t="shared" si="20"/>
        <v/>
      </c>
    </row>
  </sheetData>
  <conditionalFormatting sqref="G1:G1048576">
    <cfRule type="cellIs" dxfId="21" priority="1" operator="between">
      <formula>2010</formula>
      <formula>2029</formula>
    </cfRule>
    <cfRule type="cellIs" dxfId="20" priority="2" operator="equal">
      <formula>2030</formula>
    </cfRule>
    <cfRule type="cellIs" dxfId="19" priority="3" operator="between">
      <formula>2039</formula>
      <formula>2050</formula>
    </cfRule>
  </conditionalFormatting>
  <conditionalFormatting sqref="I1:I1048576">
    <cfRule type="cellIs" dxfId="18" priority="4" operator="equal">
      <formula>"no"</formula>
    </cfRule>
    <cfRule type="cellIs" dxfId="17" priority="5" operator="equal">
      <formula>"yes"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A3863-651B-4961-B343-8C04C9F46717}">
  <dimension ref="A1:AD134"/>
  <sheetViews>
    <sheetView zoomScaleNormal="100" workbookViewId="0">
      <selection activeCell="B35" sqref="B35"/>
    </sheetView>
  </sheetViews>
  <sheetFormatPr defaultColWidth="8.88671875" defaultRowHeight="14.4" x14ac:dyDescent="0.3"/>
  <cols>
    <col min="1" max="1" width="15" customWidth="1"/>
    <col min="2" max="2" width="5.88671875" customWidth="1"/>
    <col min="3" max="3" width="21.88671875" customWidth="1"/>
    <col min="6" max="6" width="13.109375" style="3" customWidth="1"/>
    <col min="7" max="7" width="8.88671875" style="2"/>
    <col min="9" max="9" width="8.88671875" style="1"/>
    <col min="10" max="10" width="13.109375" style="2" customWidth="1"/>
    <col min="11" max="12" width="8.88671875" style="1"/>
    <col min="13" max="13" width="10.109375" customWidth="1"/>
    <col min="14" max="14" width="11.109375" style="2" customWidth="1"/>
    <col min="28" max="28" width="8.88671875" style="1"/>
    <col min="29" max="29" width="9.44140625" customWidth="1"/>
    <col min="30" max="30" width="9.5546875" style="2" customWidth="1"/>
  </cols>
  <sheetData>
    <row r="1" spans="1:30" s="4" customFormat="1" x14ac:dyDescent="0.3">
      <c r="A1" s="4" t="s">
        <v>10</v>
      </c>
      <c r="B1" s="4" t="s">
        <v>11</v>
      </c>
      <c r="C1" s="4" t="s">
        <v>12</v>
      </c>
      <c r="D1" s="4" t="s">
        <v>0</v>
      </c>
      <c r="E1" s="4" t="s">
        <v>1</v>
      </c>
      <c r="F1" s="5" t="s">
        <v>2</v>
      </c>
      <c r="G1" s="6" t="s">
        <v>3</v>
      </c>
      <c r="I1" s="7" t="s">
        <v>182</v>
      </c>
      <c r="J1" s="4" t="s">
        <v>2</v>
      </c>
      <c r="K1" s="7"/>
      <c r="L1" s="11" t="s">
        <v>39</v>
      </c>
      <c r="M1" s="12" t="s">
        <v>43</v>
      </c>
      <c r="N1" s="26" t="s">
        <v>44</v>
      </c>
      <c r="AB1" s="8" t="s">
        <v>39</v>
      </c>
      <c r="AC1" s="9" t="s">
        <v>43</v>
      </c>
      <c r="AD1" s="10" t="s">
        <v>44</v>
      </c>
    </row>
    <row r="2" spans="1:30" ht="15" thickBot="1" x14ac:dyDescent="0.35">
      <c r="A2" t="s">
        <v>90</v>
      </c>
      <c r="B2" t="s">
        <v>91</v>
      </c>
      <c r="C2" t="s">
        <v>96</v>
      </c>
      <c r="F2" s="3">
        <v>500</v>
      </c>
      <c r="G2" s="2">
        <v>2022</v>
      </c>
      <c r="I2" s="1" t="s">
        <v>184</v>
      </c>
      <c r="J2" s="2" t="str">
        <f>IF(I2="yes",F2,"")</f>
        <v/>
      </c>
      <c r="L2" s="1" t="str">
        <f>IF(G2&lt;2025,J2,"")</f>
        <v/>
      </c>
      <c r="M2" t="str">
        <f>IF(G2=2030,J2,"")</f>
        <v/>
      </c>
      <c r="N2" s="2" t="str">
        <f>IF(G2&gt;2039,J2,"")</f>
        <v/>
      </c>
      <c r="AB2" s="1" t="e">
        <f t="shared" ref="AB2:AB33" si="0">IF(L2="",NA(),L2)</f>
        <v>#N/A</v>
      </c>
      <c r="AC2" t="e">
        <f t="shared" ref="AC2:AC33" si="1">IF(M2="",NA(),M2)</f>
        <v>#N/A</v>
      </c>
      <c r="AD2" s="2" t="e">
        <f t="shared" ref="AD2:AD33" si="2">IF(N2="",NA(),N2)</f>
        <v>#N/A</v>
      </c>
    </row>
    <row r="3" spans="1:30" ht="15.6" x14ac:dyDescent="0.3">
      <c r="A3" t="s">
        <v>97</v>
      </c>
      <c r="B3" t="s">
        <v>98</v>
      </c>
      <c r="C3" t="s">
        <v>99</v>
      </c>
      <c r="F3" s="3">
        <v>490</v>
      </c>
      <c r="G3" s="2">
        <v>2018</v>
      </c>
      <c r="I3" s="1" t="s">
        <v>183</v>
      </c>
      <c r="J3" s="2">
        <f t="shared" ref="J3:J31" si="3">IF(I3="yes",F3,"")</f>
        <v>490</v>
      </c>
      <c r="L3" s="1">
        <f t="shared" ref="L3:L31" si="4">IF(G3&lt;2025,J3,"")</f>
        <v>490</v>
      </c>
      <c r="M3" t="str">
        <f t="shared" ref="M3:M31" si="5">IF(G3=2030,J3,"")</f>
        <v/>
      </c>
      <c r="N3" s="2" t="str">
        <f t="shared" ref="N3:N31" si="6">IF(G3&gt;2039,J3,"")</f>
        <v/>
      </c>
      <c r="V3" s="15" t="s">
        <v>188</v>
      </c>
      <c r="W3" s="16" t="s">
        <v>40</v>
      </c>
      <c r="X3" s="17" t="s">
        <v>42</v>
      </c>
      <c r="Y3" s="18" t="s">
        <v>41</v>
      </c>
      <c r="AB3" s="1">
        <f t="shared" si="0"/>
        <v>490</v>
      </c>
      <c r="AC3" t="e">
        <f t="shared" si="1"/>
        <v>#N/A</v>
      </c>
      <c r="AD3" s="2" t="e">
        <f t="shared" si="2"/>
        <v>#N/A</v>
      </c>
    </row>
    <row r="4" spans="1:30" x14ac:dyDescent="0.3">
      <c r="A4" t="s">
        <v>100</v>
      </c>
      <c r="B4" t="s">
        <v>101</v>
      </c>
      <c r="C4" t="s">
        <v>102</v>
      </c>
      <c r="F4" s="3">
        <v>430</v>
      </c>
      <c r="G4" s="2">
        <v>2018</v>
      </c>
      <c r="I4" s="1" t="s">
        <v>183</v>
      </c>
      <c r="J4" s="2">
        <f t="shared" si="3"/>
        <v>430</v>
      </c>
      <c r="L4" s="1">
        <f t="shared" si="4"/>
        <v>430</v>
      </c>
      <c r="M4" t="str">
        <f t="shared" si="5"/>
        <v/>
      </c>
      <c r="N4" s="2" t="str">
        <f t="shared" si="6"/>
        <v/>
      </c>
      <c r="V4" s="19">
        <v>2020</v>
      </c>
      <c r="W4" s="14">
        <f>AVERAGE(L:L)</f>
        <v>464.22222222222223</v>
      </c>
      <c r="X4" s="13">
        <f>MIN(L:L)</f>
        <v>400</v>
      </c>
      <c r="Y4" s="20">
        <f>MAX(L:L)</f>
        <v>550</v>
      </c>
      <c r="AB4" s="1">
        <f t="shared" si="0"/>
        <v>430</v>
      </c>
      <c r="AC4" t="e">
        <f t="shared" si="1"/>
        <v>#N/A</v>
      </c>
      <c r="AD4" s="2" t="e">
        <f t="shared" si="2"/>
        <v>#N/A</v>
      </c>
    </row>
    <row r="5" spans="1:30" x14ac:dyDescent="0.3">
      <c r="A5" t="s">
        <v>103</v>
      </c>
      <c r="B5" t="s">
        <v>104</v>
      </c>
      <c r="C5" t="s">
        <v>105</v>
      </c>
      <c r="E5" t="s">
        <v>7</v>
      </c>
      <c r="F5" s="3">
        <v>400</v>
      </c>
      <c r="G5" s="2">
        <v>2015</v>
      </c>
      <c r="I5" s="1" t="s">
        <v>183</v>
      </c>
      <c r="J5" s="2">
        <f t="shared" si="3"/>
        <v>400</v>
      </c>
      <c r="L5" s="1">
        <f t="shared" si="4"/>
        <v>400</v>
      </c>
      <c r="M5" t="str">
        <f t="shared" si="5"/>
        <v/>
      </c>
      <c r="N5" s="2" t="str">
        <f t="shared" si="6"/>
        <v/>
      </c>
      <c r="V5" s="21">
        <v>2030</v>
      </c>
      <c r="W5" s="14">
        <f>AVERAGE(M:M)</f>
        <v>345.66666666666669</v>
      </c>
      <c r="X5" s="13">
        <f>MIN(M:M)</f>
        <v>220</v>
      </c>
      <c r="Y5" s="20">
        <f>MAX(M:M)</f>
        <v>466</v>
      </c>
      <c r="AB5" s="1">
        <f t="shared" si="0"/>
        <v>400</v>
      </c>
      <c r="AC5" t="e">
        <f t="shared" si="1"/>
        <v>#N/A</v>
      </c>
      <c r="AD5" s="2" t="e">
        <f t="shared" si="2"/>
        <v>#N/A</v>
      </c>
    </row>
    <row r="6" spans="1:30" ht="15" thickBot="1" x14ac:dyDescent="0.35">
      <c r="E6" t="s">
        <v>8</v>
      </c>
      <c r="F6" s="3">
        <v>530</v>
      </c>
      <c r="G6" s="2">
        <v>2015</v>
      </c>
      <c r="I6" s="1" t="s">
        <v>184</v>
      </c>
      <c r="J6" s="2" t="str">
        <f t="shared" si="3"/>
        <v/>
      </c>
      <c r="L6" s="1" t="str">
        <f t="shared" si="4"/>
        <v/>
      </c>
      <c r="M6" t="str">
        <f t="shared" si="5"/>
        <v/>
      </c>
      <c r="N6" s="2" t="str">
        <f t="shared" si="6"/>
        <v/>
      </c>
      <c r="V6" s="22">
        <v>2050</v>
      </c>
      <c r="W6" s="23">
        <f>AVERAGE(N:N)</f>
        <v>344.75</v>
      </c>
      <c r="X6" s="24">
        <f>MIN(N:N)</f>
        <v>220</v>
      </c>
      <c r="Y6" s="25">
        <f>MAX(N:N)</f>
        <v>460</v>
      </c>
      <c r="AB6" s="1" t="e">
        <f t="shared" si="0"/>
        <v>#N/A</v>
      </c>
      <c r="AC6" t="e">
        <f t="shared" si="1"/>
        <v>#N/A</v>
      </c>
      <c r="AD6" s="2" t="e">
        <f t="shared" si="2"/>
        <v>#N/A</v>
      </c>
    </row>
    <row r="7" spans="1:30" x14ac:dyDescent="0.3">
      <c r="A7" t="s">
        <v>106</v>
      </c>
      <c r="B7" t="s">
        <v>107</v>
      </c>
      <c r="C7" t="s">
        <v>108</v>
      </c>
      <c r="F7" s="3">
        <v>630</v>
      </c>
      <c r="G7" s="2">
        <v>2019</v>
      </c>
      <c r="I7" s="1" t="s">
        <v>184</v>
      </c>
      <c r="J7" s="2" t="str">
        <f t="shared" si="3"/>
        <v/>
      </c>
      <c r="L7" s="1" t="str">
        <f t="shared" si="4"/>
        <v/>
      </c>
      <c r="M7" t="str">
        <f t="shared" si="5"/>
        <v/>
      </c>
      <c r="N7" s="2" t="str">
        <f t="shared" si="6"/>
        <v/>
      </c>
      <c r="AB7" s="1" t="e">
        <f t="shared" si="0"/>
        <v>#N/A</v>
      </c>
      <c r="AC7" t="e">
        <f t="shared" si="1"/>
        <v>#N/A</v>
      </c>
      <c r="AD7" s="2" t="e">
        <f t="shared" si="2"/>
        <v>#N/A</v>
      </c>
    </row>
    <row r="8" spans="1:30" x14ac:dyDescent="0.3">
      <c r="A8" t="s">
        <v>94</v>
      </c>
      <c r="B8" t="s">
        <v>95</v>
      </c>
      <c r="C8" t="s">
        <v>109</v>
      </c>
      <c r="F8" s="3">
        <v>1200</v>
      </c>
      <c r="G8" s="2">
        <v>2017</v>
      </c>
      <c r="I8" s="1" t="s">
        <v>184</v>
      </c>
      <c r="J8" s="2" t="str">
        <f t="shared" si="3"/>
        <v/>
      </c>
      <c r="L8" s="1" t="str">
        <f t="shared" si="4"/>
        <v/>
      </c>
      <c r="M8" t="str">
        <f t="shared" si="5"/>
        <v/>
      </c>
      <c r="N8" s="2" t="str">
        <f t="shared" si="6"/>
        <v/>
      </c>
      <c r="AB8" s="1" t="e">
        <f t="shared" si="0"/>
        <v>#N/A</v>
      </c>
      <c r="AC8" t="e">
        <f t="shared" si="1"/>
        <v>#N/A</v>
      </c>
      <c r="AD8" s="2" t="e">
        <f t="shared" si="2"/>
        <v>#N/A</v>
      </c>
    </row>
    <row r="9" spans="1:30" x14ac:dyDescent="0.3">
      <c r="A9" t="s">
        <v>110</v>
      </c>
      <c r="B9" t="s">
        <v>111</v>
      </c>
      <c r="C9" t="s">
        <v>112</v>
      </c>
      <c r="D9" t="s">
        <v>113</v>
      </c>
      <c r="F9" s="3">
        <v>550</v>
      </c>
      <c r="G9" s="2">
        <v>2020</v>
      </c>
      <c r="I9" s="1" t="s">
        <v>183</v>
      </c>
      <c r="J9" s="2">
        <f t="shared" si="3"/>
        <v>550</v>
      </c>
      <c r="L9" s="1">
        <f t="shared" si="4"/>
        <v>550</v>
      </c>
      <c r="M9" t="str">
        <f t="shared" si="5"/>
        <v/>
      </c>
      <c r="N9" s="2" t="str">
        <f t="shared" si="6"/>
        <v/>
      </c>
      <c r="AB9" s="1">
        <f t="shared" si="0"/>
        <v>550</v>
      </c>
      <c r="AC9" t="e">
        <f t="shared" si="1"/>
        <v>#N/A</v>
      </c>
      <c r="AD9" s="2" t="e">
        <f t="shared" si="2"/>
        <v>#N/A</v>
      </c>
    </row>
    <row r="10" spans="1:30" x14ac:dyDescent="0.3">
      <c r="C10" t="s">
        <v>114</v>
      </c>
      <c r="D10" t="s">
        <v>115</v>
      </c>
      <c r="F10" s="3">
        <v>715</v>
      </c>
      <c r="G10" s="2">
        <v>2020</v>
      </c>
      <c r="I10" s="1" t="s">
        <v>184</v>
      </c>
      <c r="J10" s="2" t="str">
        <f t="shared" si="3"/>
        <v/>
      </c>
      <c r="L10" s="1" t="str">
        <f t="shared" si="4"/>
        <v/>
      </c>
      <c r="M10" t="str">
        <f t="shared" si="5"/>
        <v/>
      </c>
      <c r="N10" s="2" t="str">
        <f t="shared" si="6"/>
        <v/>
      </c>
      <c r="AB10" s="1" t="e">
        <f t="shared" si="0"/>
        <v>#N/A</v>
      </c>
      <c r="AC10" t="e">
        <f t="shared" si="1"/>
        <v>#N/A</v>
      </c>
      <c r="AD10" s="2" t="e">
        <f t="shared" si="2"/>
        <v>#N/A</v>
      </c>
    </row>
    <row r="11" spans="1:30" x14ac:dyDescent="0.3">
      <c r="C11" t="s">
        <v>116</v>
      </c>
      <c r="D11" t="s">
        <v>117</v>
      </c>
      <c r="F11" s="3">
        <v>1750</v>
      </c>
      <c r="G11" s="2">
        <v>2020</v>
      </c>
      <c r="I11" s="1" t="s">
        <v>184</v>
      </c>
      <c r="J11" s="2" t="str">
        <f t="shared" si="3"/>
        <v/>
      </c>
      <c r="L11" s="1" t="str">
        <f t="shared" si="4"/>
        <v/>
      </c>
      <c r="M11" t="str">
        <f t="shared" si="5"/>
        <v/>
      </c>
      <c r="N11" s="2" t="str">
        <f t="shared" si="6"/>
        <v/>
      </c>
      <c r="AB11" s="1" t="e">
        <f t="shared" si="0"/>
        <v>#N/A</v>
      </c>
      <c r="AC11" t="e">
        <f t="shared" si="1"/>
        <v>#N/A</v>
      </c>
      <c r="AD11" s="2" t="e">
        <f t="shared" si="2"/>
        <v>#N/A</v>
      </c>
    </row>
    <row r="12" spans="1:30" x14ac:dyDescent="0.3">
      <c r="A12" t="s">
        <v>118</v>
      </c>
      <c r="B12" t="s">
        <v>119</v>
      </c>
      <c r="C12" t="s">
        <v>120</v>
      </c>
      <c r="D12" t="s">
        <v>169</v>
      </c>
      <c r="F12" s="3">
        <v>300</v>
      </c>
      <c r="G12" s="2">
        <v>2030</v>
      </c>
      <c r="I12" s="1" t="s">
        <v>183</v>
      </c>
      <c r="J12" s="2">
        <f t="shared" si="3"/>
        <v>300</v>
      </c>
      <c r="L12" s="1" t="str">
        <f t="shared" si="4"/>
        <v/>
      </c>
      <c r="M12">
        <f t="shared" si="5"/>
        <v>300</v>
      </c>
      <c r="N12" s="2" t="str">
        <f t="shared" si="6"/>
        <v/>
      </c>
      <c r="AB12" s="1" t="e">
        <f t="shared" si="0"/>
        <v>#N/A</v>
      </c>
      <c r="AC12">
        <f t="shared" si="1"/>
        <v>300</v>
      </c>
      <c r="AD12" s="2" t="e">
        <f t="shared" si="2"/>
        <v>#N/A</v>
      </c>
    </row>
    <row r="13" spans="1:30" x14ac:dyDescent="0.3">
      <c r="A13" t="s">
        <v>170</v>
      </c>
      <c r="B13" t="s">
        <v>122</v>
      </c>
      <c r="C13" t="s">
        <v>120</v>
      </c>
      <c r="D13" t="s">
        <v>169</v>
      </c>
      <c r="F13" s="3">
        <v>300</v>
      </c>
      <c r="G13" s="2">
        <v>2030</v>
      </c>
      <c r="I13" s="1" t="s">
        <v>183</v>
      </c>
      <c r="J13" s="2">
        <f t="shared" si="3"/>
        <v>300</v>
      </c>
      <c r="L13" s="1" t="str">
        <f t="shared" si="4"/>
        <v/>
      </c>
      <c r="M13">
        <f t="shared" si="5"/>
        <v>300</v>
      </c>
      <c r="N13" s="2" t="str">
        <f t="shared" si="6"/>
        <v/>
      </c>
      <c r="AB13" s="1" t="e">
        <f t="shared" si="0"/>
        <v>#N/A</v>
      </c>
      <c r="AC13">
        <f t="shared" si="1"/>
        <v>300</v>
      </c>
      <c r="AD13" s="2" t="e">
        <f t="shared" si="2"/>
        <v>#N/A</v>
      </c>
    </row>
    <row r="14" spans="1:30" x14ac:dyDescent="0.3">
      <c r="C14" t="s">
        <v>171</v>
      </c>
      <c r="D14" t="s">
        <v>169</v>
      </c>
      <c r="F14" s="3">
        <v>266</v>
      </c>
      <c r="G14" s="2">
        <v>2050</v>
      </c>
      <c r="I14" s="1" t="s">
        <v>183</v>
      </c>
      <c r="J14" s="2">
        <f t="shared" si="3"/>
        <v>266</v>
      </c>
      <c r="L14" s="1" t="str">
        <f t="shared" si="4"/>
        <v/>
      </c>
      <c r="M14" t="str">
        <f t="shared" si="5"/>
        <v/>
      </c>
      <c r="N14" s="2">
        <f t="shared" si="6"/>
        <v>266</v>
      </c>
      <c r="AB14" s="1" t="e">
        <f t="shared" si="0"/>
        <v>#N/A</v>
      </c>
      <c r="AC14" t="e">
        <f t="shared" si="1"/>
        <v>#N/A</v>
      </c>
      <c r="AD14" s="2">
        <f t="shared" si="2"/>
        <v>266</v>
      </c>
    </row>
    <row r="15" spans="1:30" x14ac:dyDescent="0.3">
      <c r="A15" t="s">
        <v>121</v>
      </c>
      <c r="B15" t="s">
        <v>128</v>
      </c>
      <c r="C15" t="s">
        <v>123</v>
      </c>
      <c r="D15" t="s">
        <v>124</v>
      </c>
      <c r="F15" s="3">
        <v>470</v>
      </c>
      <c r="G15" s="2">
        <v>2014</v>
      </c>
      <c r="I15" s="1" t="s">
        <v>183</v>
      </c>
      <c r="J15" s="2">
        <f t="shared" si="3"/>
        <v>470</v>
      </c>
      <c r="L15" s="1">
        <f t="shared" si="4"/>
        <v>470</v>
      </c>
      <c r="M15" t="str">
        <f t="shared" si="5"/>
        <v/>
      </c>
      <c r="N15" s="2" t="str">
        <f t="shared" si="6"/>
        <v/>
      </c>
      <c r="AB15" s="1">
        <f t="shared" si="0"/>
        <v>470</v>
      </c>
      <c r="AC15" t="e">
        <f t="shared" si="1"/>
        <v>#N/A</v>
      </c>
      <c r="AD15" s="2" t="e">
        <f t="shared" si="2"/>
        <v>#N/A</v>
      </c>
    </row>
    <row r="16" spans="1:30" x14ac:dyDescent="0.3">
      <c r="C16" t="s">
        <v>125</v>
      </c>
      <c r="D16" t="s">
        <v>126</v>
      </c>
      <c r="F16" s="3">
        <v>1400</v>
      </c>
      <c r="G16" s="2">
        <v>2014</v>
      </c>
      <c r="I16" s="1" t="s">
        <v>184</v>
      </c>
      <c r="J16" s="2" t="str">
        <f t="shared" si="3"/>
        <v/>
      </c>
      <c r="L16" s="1" t="str">
        <f t="shared" si="4"/>
        <v/>
      </c>
      <c r="M16" t="str">
        <f t="shared" si="5"/>
        <v/>
      </c>
      <c r="N16" s="2" t="str">
        <f t="shared" si="6"/>
        <v/>
      </c>
      <c r="AB16" s="1" t="e">
        <f t="shared" si="0"/>
        <v>#N/A</v>
      </c>
      <c r="AC16" t="e">
        <f t="shared" si="1"/>
        <v>#N/A</v>
      </c>
      <c r="AD16" s="2" t="e">
        <f t="shared" si="2"/>
        <v>#N/A</v>
      </c>
    </row>
    <row r="17" spans="1:30" x14ac:dyDescent="0.3">
      <c r="A17" t="s">
        <v>127</v>
      </c>
      <c r="B17" t="s">
        <v>131</v>
      </c>
      <c r="C17" t="s">
        <v>129</v>
      </c>
      <c r="D17" t="s">
        <v>117</v>
      </c>
      <c r="F17" s="3">
        <v>500</v>
      </c>
      <c r="G17" s="2">
        <v>2018</v>
      </c>
      <c r="I17" s="1" t="s">
        <v>183</v>
      </c>
      <c r="J17" s="2">
        <f t="shared" si="3"/>
        <v>500</v>
      </c>
      <c r="L17" s="1">
        <f t="shared" si="4"/>
        <v>500</v>
      </c>
      <c r="M17" t="str">
        <f t="shared" si="5"/>
        <v/>
      </c>
      <c r="N17" s="2" t="str">
        <f t="shared" si="6"/>
        <v/>
      </c>
      <c r="AB17" s="1">
        <f t="shared" si="0"/>
        <v>500</v>
      </c>
      <c r="AC17" t="e">
        <f t="shared" si="1"/>
        <v>#N/A</v>
      </c>
      <c r="AD17" s="2" t="e">
        <f t="shared" si="2"/>
        <v>#N/A</v>
      </c>
    </row>
    <row r="18" spans="1:30" x14ac:dyDescent="0.3">
      <c r="A18" t="s">
        <v>130</v>
      </c>
      <c r="B18" t="s">
        <v>136</v>
      </c>
      <c r="C18" t="s">
        <v>132</v>
      </c>
      <c r="F18" s="3">
        <v>500</v>
      </c>
      <c r="G18" s="2">
        <v>2018</v>
      </c>
      <c r="I18" s="1" t="s">
        <v>183</v>
      </c>
      <c r="J18" s="2">
        <f t="shared" si="3"/>
        <v>500</v>
      </c>
      <c r="L18" s="1">
        <f t="shared" si="4"/>
        <v>500</v>
      </c>
      <c r="M18" t="str">
        <f t="shared" si="5"/>
        <v/>
      </c>
      <c r="N18" s="2" t="str">
        <f t="shared" si="6"/>
        <v/>
      </c>
      <c r="AB18" s="1">
        <f t="shared" si="0"/>
        <v>500</v>
      </c>
      <c r="AC18" t="e">
        <f t="shared" si="1"/>
        <v>#N/A</v>
      </c>
      <c r="AD18" s="2" t="e">
        <f t="shared" si="2"/>
        <v>#N/A</v>
      </c>
    </row>
    <row r="19" spans="1:30" x14ac:dyDescent="0.3">
      <c r="C19" t="s">
        <v>133</v>
      </c>
      <c r="F19" s="3">
        <v>80</v>
      </c>
      <c r="G19" s="2" t="s">
        <v>134</v>
      </c>
      <c r="I19" s="1" t="s">
        <v>184</v>
      </c>
      <c r="J19" s="2" t="str">
        <f t="shared" si="3"/>
        <v/>
      </c>
      <c r="L19" s="1" t="str">
        <f t="shared" si="4"/>
        <v/>
      </c>
      <c r="M19" t="str">
        <f t="shared" si="5"/>
        <v/>
      </c>
      <c r="N19" s="2" t="str">
        <f t="shared" si="6"/>
        <v/>
      </c>
      <c r="AB19" s="1" t="e">
        <f t="shared" si="0"/>
        <v>#N/A</v>
      </c>
      <c r="AC19" t="e">
        <f t="shared" si="1"/>
        <v>#N/A</v>
      </c>
      <c r="AD19" s="2" t="e">
        <f t="shared" si="2"/>
        <v>#N/A</v>
      </c>
    </row>
    <row r="20" spans="1:30" x14ac:dyDescent="0.3">
      <c r="A20" t="s">
        <v>135</v>
      </c>
      <c r="B20" t="s">
        <v>172</v>
      </c>
      <c r="C20" t="s">
        <v>137</v>
      </c>
      <c r="D20" t="s">
        <v>138</v>
      </c>
      <c r="F20" s="3">
        <v>400</v>
      </c>
      <c r="G20" s="2">
        <v>2023</v>
      </c>
      <c r="I20" s="1" t="s">
        <v>183</v>
      </c>
      <c r="J20" s="2">
        <f t="shared" si="3"/>
        <v>400</v>
      </c>
      <c r="L20" s="1">
        <f t="shared" si="4"/>
        <v>400</v>
      </c>
      <c r="M20" t="str">
        <f t="shared" si="5"/>
        <v/>
      </c>
      <c r="N20" s="2" t="str">
        <f t="shared" si="6"/>
        <v/>
      </c>
      <c r="AB20" s="1">
        <f t="shared" si="0"/>
        <v>400</v>
      </c>
      <c r="AC20" t="e">
        <f t="shared" si="1"/>
        <v>#N/A</v>
      </c>
      <c r="AD20" s="2" t="e">
        <f t="shared" si="2"/>
        <v>#N/A</v>
      </c>
    </row>
    <row r="21" spans="1:30" x14ac:dyDescent="0.3">
      <c r="C21" t="s">
        <v>139</v>
      </c>
      <c r="D21" t="s">
        <v>117</v>
      </c>
      <c r="F21" s="3">
        <v>700</v>
      </c>
      <c r="G21" s="2">
        <v>2023</v>
      </c>
      <c r="I21" s="1" t="s">
        <v>184</v>
      </c>
      <c r="J21" s="2" t="str">
        <f t="shared" si="3"/>
        <v/>
      </c>
      <c r="L21" s="1" t="str">
        <f t="shared" si="4"/>
        <v/>
      </c>
      <c r="M21" t="str">
        <f t="shared" si="5"/>
        <v/>
      </c>
      <c r="N21" s="2" t="str">
        <f t="shared" si="6"/>
        <v/>
      </c>
      <c r="AB21" s="1" t="e">
        <f t="shared" si="0"/>
        <v>#N/A</v>
      </c>
      <c r="AC21" t="e">
        <f t="shared" si="1"/>
        <v>#N/A</v>
      </c>
      <c r="AD21" s="2" t="e">
        <f t="shared" si="2"/>
        <v>#N/A</v>
      </c>
    </row>
    <row r="22" spans="1:30" x14ac:dyDescent="0.3">
      <c r="A22" t="s">
        <v>173</v>
      </c>
      <c r="B22" t="s">
        <v>142</v>
      </c>
      <c r="C22" t="s">
        <v>174</v>
      </c>
      <c r="D22" t="s">
        <v>175</v>
      </c>
      <c r="E22" t="s">
        <v>9</v>
      </c>
      <c r="F22" s="3">
        <v>460</v>
      </c>
      <c r="G22" s="2">
        <v>2030</v>
      </c>
      <c r="I22" s="1" t="s">
        <v>183</v>
      </c>
      <c r="J22" s="2">
        <f t="shared" si="3"/>
        <v>460</v>
      </c>
      <c r="L22" s="1" t="str">
        <f t="shared" si="4"/>
        <v/>
      </c>
      <c r="M22">
        <f t="shared" si="5"/>
        <v>460</v>
      </c>
      <c r="N22" s="2" t="str">
        <f t="shared" si="6"/>
        <v/>
      </c>
      <c r="AB22" s="1" t="e">
        <f t="shared" si="0"/>
        <v>#N/A</v>
      </c>
      <c r="AC22">
        <f t="shared" si="1"/>
        <v>460</v>
      </c>
      <c r="AD22" s="2" t="e">
        <f t="shared" si="2"/>
        <v>#N/A</v>
      </c>
    </row>
    <row r="23" spans="1:30" x14ac:dyDescent="0.3">
      <c r="E23" t="s">
        <v>7</v>
      </c>
      <c r="F23" s="3">
        <v>220</v>
      </c>
      <c r="G23" s="2">
        <v>2030</v>
      </c>
      <c r="I23" s="1" t="s">
        <v>183</v>
      </c>
      <c r="J23" s="2">
        <f t="shared" si="3"/>
        <v>220</v>
      </c>
      <c r="L23" s="1" t="str">
        <f t="shared" si="4"/>
        <v/>
      </c>
      <c r="M23">
        <f t="shared" si="5"/>
        <v>220</v>
      </c>
      <c r="N23" s="2" t="str">
        <f t="shared" si="6"/>
        <v/>
      </c>
      <c r="AB23" s="1" t="e">
        <f t="shared" si="0"/>
        <v>#N/A</v>
      </c>
      <c r="AC23">
        <f t="shared" si="1"/>
        <v>220</v>
      </c>
      <c r="AD23" s="2" t="e">
        <f t="shared" si="2"/>
        <v>#N/A</v>
      </c>
    </row>
    <row r="24" spans="1:30" x14ac:dyDescent="0.3">
      <c r="E24" t="s">
        <v>8</v>
      </c>
      <c r="F24" s="3">
        <v>600</v>
      </c>
      <c r="G24" s="2">
        <v>2030</v>
      </c>
      <c r="I24" s="1" t="s">
        <v>184</v>
      </c>
      <c r="J24" s="2" t="str">
        <f t="shared" si="3"/>
        <v/>
      </c>
      <c r="L24" s="1" t="str">
        <f t="shared" si="4"/>
        <v/>
      </c>
      <c r="M24" t="str">
        <f t="shared" si="5"/>
        <v/>
      </c>
      <c r="N24" s="2" t="str">
        <f t="shared" si="6"/>
        <v/>
      </c>
      <c r="AB24" s="1" t="e">
        <f t="shared" si="0"/>
        <v>#N/A</v>
      </c>
      <c r="AC24" t="e">
        <f t="shared" si="1"/>
        <v>#N/A</v>
      </c>
      <c r="AD24" s="2" t="e">
        <f t="shared" si="2"/>
        <v>#N/A</v>
      </c>
    </row>
    <row r="25" spans="1:30" x14ac:dyDescent="0.3">
      <c r="C25" t="s">
        <v>174</v>
      </c>
      <c r="E25" t="s">
        <v>9</v>
      </c>
      <c r="F25" s="3">
        <v>460</v>
      </c>
      <c r="G25" s="2">
        <v>2050</v>
      </c>
      <c r="I25" s="1" t="s">
        <v>183</v>
      </c>
      <c r="J25" s="2">
        <f t="shared" si="3"/>
        <v>460</v>
      </c>
      <c r="L25" s="1" t="str">
        <f t="shared" si="4"/>
        <v/>
      </c>
      <c r="M25" t="str">
        <f t="shared" si="5"/>
        <v/>
      </c>
      <c r="N25" s="2">
        <f t="shared" si="6"/>
        <v>460</v>
      </c>
      <c r="AB25" s="1" t="e">
        <f t="shared" si="0"/>
        <v>#N/A</v>
      </c>
      <c r="AC25" t="e">
        <f t="shared" si="1"/>
        <v>#N/A</v>
      </c>
      <c r="AD25" s="2">
        <f t="shared" si="2"/>
        <v>460</v>
      </c>
    </row>
    <row r="26" spans="1:30" x14ac:dyDescent="0.3">
      <c r="E26" t="s">
        <v>7</v>
      </c>
      <c r="F26" s="3">
        <v>220</v>
      </c>
      <c r="G26" s="2">
        <v>2050</v>
      </c>
      <c r="I26" s="1" t="s">
        <v>183</v>
      </c>
      <c r="J26" s="2">
        <f t="shared" si="3"/>
        <v>220</v>
      </c>
      <c r="L26" s="1" t="str">
        <f t="shared" si="4"/>
        <v/>
      </c>
      <c r="M26" t="str">
        <f t="shared" si="5"/>
        <v/>
      </c>
      <c r="N26" s="2">
        <f t="shared" si="6"/>
        <v>220</v>
      </c>
      <c r="AB26" s="1" t="e">
        <f t="shared" si="0"/>
        <v>#N/A</v>
      </c>
      <c r="AC26" t="e">
        <f t="shared" si="1"/>
        <v>#N/A</v>
      </c>
      <c r="AD26" s="2">
        <f t="shared" si="2"/>
        <v>220</v>
      </c>
    </row>
    <row r="27" spans="1:30" x14ac:dyDescent="0.3">
      <c r="E27" t="s">
        <v>8</v>
      </c>
      <c r="F27" s="3">
        <v>600</v>
      </c>
      <c r="G27" s="2">
        <v>2050</v>
      </c>
      <c r="I27" s="1" t="s">
        <v>184</v>
      </c>
      <c r="J27" s="2" t="str">
        <f t="shared" si="3"/>
        <v/>
      </c>
      <c r="L27" s="1" t="str">
        <f t="shared" si="4"/>
        <v/>
      </c>
      <c r="M27" t="str">
        <f t="shared" si="5"/>
        <v/>
      </c>
      <c r="N27" s="2" t="str">
        <f t="shared" si="6"/>
        <v/>
      </c>
      <c r="AB27" s="1" t="e">
        <f t="shared" si="0"/>
        <v>#N/A</v>
      </c>
      <c r="AC27" t="e">
        <f t="shared" si="1"/>
        <v>#N/A</v>
      </c>
      <c r="AD27" s="2" t="e">
        <f t="shared" si="2"/>
        <v>#N/A</v>
      </c>
    </row>
    <row r="28" spans="1:30" x14ac:dyDescent="0.3">
      <c r="A28" t="s">
        <v>176</v>
      </c>
      <c r="B28" t="s">
        <v>148</v>
      </c>
      <c r="C28" t="s">
        <v>177</v>
      </c>
      <c r="F28" s="3">
        <v>438</v>
      </c>
      <c r="G28" s="2">
        <v>2024</v>
      </c>
      <c r="I28" s="1" t="s">
        <v>183</v>
      </c>
      <c r="J28" s="2">
        <f t="shared" si="3"/>
        <v>438</v>
      </c>
      <c r="L28" s="1">
        <f t="shared" si="4"/>
        <v>438</v>
      </c>
      <c r="M28" t="str">
        <f t="shared" si="5"/>
        <v/>
      </c>
      <c r="N28" s="2" t="str">
        <f t="shared" si="6"/>
        <v/>
      </c>
      <c r="AB28" s="1">
        <f t="shared" si="0"/>
        <v>438</v>
      </c>
      <c r="AC28" t="e">
        <f t="shared" si="1"/>
        <v>#N/A</v>
      </c>
      <c r="AD28" s="2" t="e">
        <f t="shared" si="2"/>
        <v>#N/A</v>
      </c>
    </row>
    <row r="29" spans="1:30" x14ac:dyDescent="0.3">
      <c r="C29" t="s">
        <v>178</v>
      </c>
      <c r="F29" s="3">
        <v>328</v>
      </c>
      <c r="G29" s="2">
        <v>2030</v>
      </c>
      <c r="I29" s="1" t="s">
        <v>183</v>
      </c>
      <c r="J29" s="2">
        <f t="shared" si="3"/>
        <v>328</v>
      </c>
      <c r="L29" s="1" t="str">
        <f t="shared" si="4"/>
        <v/>
      </c>
      <c r="M29">
        <f t="shared" si="5"/>
        <v>328</v>
      </c>
      <c r="N29" s="2" t="str">
        <f t="shared" si="6"/>
        <v/>
      </c>
      <c r="AB29" s="1" t="e">
        <f t="shared" si="0"/>
        <v>#N/A</v>
      </c>
      <c r="AC29">
        <f t="shared" si="1"/>
        <v>328</v>
      </c>
      <c r="AD29" s="2" t="e">
        <f t="shared" si="2"/>
        <v>#N/A</v>
      </c>
    </row>
    <row r="30" spans="1:30" x14ac:dyDescent="0.3">
      <c r="A30" t="s">
        <v>179</v>
      </c>
      <c r="B30" t="s">
        <v>152</v>
      </c>
      <c r="C30" t="s">
        <v>180</v>
      </c>
      <c r="D30" t="s">
        <v>169</v>
      </c>
      <c r="F30" s="3">
        <v>466</v>
      </c>
      <c r="G30" s="2">
        <v>2030</v>
      </c>
      <c r="I30" s="1" t="s">
        <v>183</v>
      </c>
      <c r="J30" s="2">
        <f t="shared" si="3"/>
        <v>466</v>
      </c>
      <c r="L30" s="1" t="str">
        <f t="shared" si="4"/>
        <v/>
      </c>
      <c r="M30">
        <f t="shared" si="5"/>
        <v>466</v>
      </c>
      <c r="N30" s="2" t="str">
        <f t="shared" si="6"/>
        <v/>
      </c>
      <c r="AB30" s="1" t="e">
        <f t="shared" si="0"/>
        <v>#N/A</v>
      </c>
      <c r="AC30">
        <f t="shared" si="1"/>
        <v>466</v>
      </c>
      <c r="AD30" s="2" t="e">
        <f t="shared" si="2"/>
        <v>#N/A</v>
      </c>
    </row>
    <row r="31" spans="1:30" x14ac:dyDescent="0.3">
      <c r="C31" t="s">
        <v>181</v>
      </c>
      <c r="D31" t="s">
        <v>169</v>
      </c>
      <c r="F31" s="3">
        <v>433</v>
      </c>
      <c r="G31" s="2">
        <v>2050</v>
      </c>
      <c r="I31" s="1" t="s">
        <v>183</v>
      </c>
      <c r="J31" s="2">
        <f t="shared" si="3"/>
        <v>433</v>
      </c>
      <c r="L31" s="1" t="str">
        <f t="shared" si="4"/>
        <v/>
      </c>
      <c r="M31" t="str">
        <f t="shared" si="5"/>
        <v/>
      </c>
      <c r="N31" s="2">
        <f t="shared" si="6"/>
        <v>433</v>
      </c>
      <c r="AB31" s="1" t="e">
        <f t="shared" si="0"/>
        <v>#N/A</v>
      </c>
      <c r="AC31" t="e">
        <f t="shared" si="1"/>
        <v>#N/A</v>
      </c>
      <c r="AD31" s="2">
        <f t="shared" si="2"/>
        <v>433</v>
      </c>
    </row>
    <row r="32" spans="1:30" x14ac:dyDescent="0.3">
      <c r="AB32" s="1" t="e">
        <f t="shared" si="0"/>
        <v>#N/A</v>
      </c>
      <c r="AC32" t="e">
        <f t="shared" si="1"/>
        <v>#N/A</v>
      </c>
      <c r="AD32" s="2" t="e">
        <f t="shared" si="2"/>
        <v>#N/A</v>
      </c>
    </row>
    <row r="33" spans="28:30" x14ac:dyDescent="0.3">
      <c r="AB33" s="1" t="e">
        <f t="shared" si="0"/>
        <v>#N/A</v>
      </c>
      <c r="AC33" t="e">
        <f t="shared" si="1"/>
        <v>#N/A</v>
      </c>
      <c r="AD33" s="2" t="e">
        <f t="shared" si="2"/>
        <v>#N/A</v>
      </c>
    </row>
    <row r="34" spans="28:30" x14ac:dyDescent="0.3">
      <c r="AB34" s="1" t="e">
        <f t="shared" ref="AB34:AB65" si="7">IF(L34="",NA(),L34)</f>
        <v>#N/A</v>
      </c>
      <c r="AC34" t="e">
        <f t="shared" ref="AC34:AC65" si="8">IF(M34="",NA(),M34)</f>
        <v>#N/A</v>
      </c>
      <c r="AD34" s="2" t="e">
        <f t="shared" ref="AD34:AD65" si="9">IF(N34="",NA(),N34)</f>
        <v>#N/A</v>
      </c>
    </row>
    <row r="35" spans="28:30" x14ac:dyDescent="0.3">
      <c r="AB35" s="1" t="e">
        <f t="shared" si="7"/>
        <v>#N/A</v>
      </c>
      <c r="AC35" t="e">
        <f t="shared" si="8"/>
        <v>#N/A</v>
      </c>
      <c r="AD35" s="2" t="e">
        <f t="shared" si="9"/>
        <v>#N/A</v>
      </c>
    </row>
    <row r="36" spans="28:30" x14ac:dyDescent="0.3">
      <c r="AB36" s="1" t="e">
        <f t="shared" si="7"/>
        <v>#N/A</v>
      </c>
      <c r="AC36" t="e">
        <f t="shared" si="8"/>
        <v>#N/A</v>
      </c>
      <c r="AD36" s="2" t="e">
        <f t="shared" si="9"/>
        <v>#N/A</v>
      </c>
    </row>
    <row r="37" spans="28:30" x14ac:dyDescent="0.3">
      <c r="AB37" s="1" t="e">
        <f t="shared" si="7"/>
        <v>#N/A</v>
      </c>
      <c r="AC37" t="e">
        <f t="shared" si="8"/>
        <v>#N/A</v>
      </c>
      <c r="AD37" s="2" t="e">
        <f t="shared" si="9"/>
        <v>#N/A</v>
      </c>
    </row>
    <row r="38" spans="28:30" x14ac:dyDescent="0.3">
      <c r="AB38" s="1" t="e">
        <f t="shared" si="7"/>
        <v>#N/A</v>
      </c>
      <c r="AC38" t="e">
        <f t="shared" si="8"/>
        <v>#N/A</v>
      </c>
      <c r="AD38" s="2" t="e">
        <f t="shared" si="9"/>
        <v>#N/A</v>
      </c>
    </row>
    <row r="39" spans="28:30" x14ac:dyDescent="0.3">
      <c r="AB39" s="1" t="e">
        <f t="shared" si="7"/>
        <v>#N/A</v>
      </c>
      <c r="AC39" t="e">
        <f t="shared" si="8"/>
        <v>#N/A</v>
      </c>
      <c r="AD39" s="2" t="e">
        <f t="shared" si="9"/>
        <v>#N/A</v>
      </c>
    </row>
    <row r="40" spans="28:30" x14ac:dyDescent="0.3">
      <c r="AB40" s="1" t="e">
        <f t="shared" si="7"/>
        <v>#N/A</v>
      </c>
      <c r="AC40" t="e">
        <f t="shared" si="8"/>
        <v>#N/A</v>
      </c>
      <c r="AD40" s="2" t="e">
        <f t="shared" si="9"/>
        <v>#N/A</v>
      </c>
    </row>
    <row r="41" spans="28:30" x14ac:dyDescent="0.3">
      <c r="AB41" s="1" t="e">
        <f t="shared" si="7"/>
        <v>#N/A</v>
      </c>
      <c r="AC41" t="e">
        <f t="shared" si="8"/>
        <v>#N/A</v>
      </c>
      <c r="AD41" s="2" t="e">
        <f t="shared" si="9"/>
        <v>#N/A</v>
      </c>
    </row>
    <row r="42" spans="28:30" x14ac:dyDescent="0.3">
      <c r="AB42" s="1" t="e">
        <f t="shared" si="7"/>
        <v>#N/A</v>
      </c>
      <c r="AC42" t="e">
        <f t="shared" si="8"/>
        <v>#N/A</v>
      </c>
      <c r="AD42" s="2" t="e">
        <f t="shared" si="9"/>
        <v>#N/A</v>
      </c>
    </row>
    <row r="43" spans="28:30" x14ac:dyDescent="0.3">
      <c r="AB43" s="1" t="e">
        <f t="shared" si="7"/>
        <v>#N/A</v>
      </c>
      <c r="AC43" t="e">
        <f t="shared" si="8"/>
        <v>#N/A</v>
      </c>
      <c r="AD43" s="2" t="e">
        <f t="shared" si="9"/>
        <v>#N/A</v>
      </c>
    </row>
    <row r="44" spans="28:30" x14ac:dyDescent="0.3">
      <c r="AB44" s="1" t="e">
        <f t="shared" si="7"/>
        <v>#N/A</v>
      </c>
      <c r="AC44" t="e">
        <f t="shared" si="8"/>
        <v>#N/A</v>
      </c>
      <c r="AD44" s="2" t="e">
        <f t="shared" si="9"/>
        <v>#N/A</v>
      </c>
    </row>
    <row r="45" spans="28:30" x14ac:dyDescent="0.3">
      <c r="AB45" s="1" t="e">
        <f t="shared" si="7"/>
        <v>#N/A</v>
      </c>
      <c r="AC45" t="e">
        <f t="shared" si="8"/>
        <v>#N/A</v>
      </c>
      <c r="AD45" s="2" t="e">
        <f t="shared" si="9"/>
        <v>#N/A</v>
      </c>
    </row>
    <row r="46" spans="28:30" x14ac:dyDescent="0.3">
      <c r="AB46" s="1" t="e">
        <f t="shared" si="7"/>
        <v>#N/A</v>
      </c>
      <c r="AC46" t="e">
        <f t="shared" si="8"/>
        <v>#N/A</v>
      </c>
      <c r="AD46" s="2" t="e">
        <f t="shared" si="9"/>
        <v>#N/A</v>
      </c>
    </row>
    <row r="47" spans="28:30" x14ac:dyDescent="0.3">
      <c r="AB47" s="1" t="e">
        <f t="shared" si="7"/>
        <v>#N/A</v>
      </c>
      <c r="AC47" t="e">
        <f t="shared" si="8"/>
        <v>#N/A</v>
      </c>
      <c r="AD47" s="2" t="e">
        <f t="shared" si="9"/>
        <v>#N/A</v>
      </c>
    </row>
    <row r="48" spans="28:30" x14ac:dyDescent="0.3">
      <c r="AB48" s="1" t="e">
        <f t="shared" si="7"/>
        <v>#N/A</v>
      </c>
      <c r="AC48" t="e">
        <f t="shared" si="8"/>
        <v>#N/A</v>
      </c>
      <c r="AD48" s="2" t="e">
        <f t="shared" si="9"/>
        <v>#N/A</v>
      </c>
    </row>
    <row r="49" spans="28:30" x14ac:dyDescent="0.3">
      <c r="AB49" s="1" t="e">
        <f t="shared" si="7"/>
        <v>#N/A</v>
      </c>
      <c r="AC49" t="e">
        <f t="shared" si="8"/>
        <v>#N/A</v>
      </c>
      <c r="AD49" s="2" t="e">
        <f t="shared" si="9"/>
        <v>#N/A</v>
      </c>
    </row>
    <row r="50" spans="28:30" x14ac:dyDescent="0.3">
      <c r="AB50" s="1" t="e">
        <f t="shared" si="7"/>
        <v>#N/A</v>
      </c>
      <c r="AC50" t="e">
        <f t="shared" si="8"/>
        <v>#N/A</v>
      </c>
      <c r="AD50" s="2" t="e">
        <f t="shared" si="9"/>
        <v>#N/A</v>
      </c>
    </row>
    <row r="51" spans="28:30" x14ac:dyDescent="0.3">
      <c r="AB51" s="1" t="e">
        <f t="shared" si="7"/>
        <v>#N/A</v>
      </c>
      <c r="AC51" t="e">
        <f t="shared" si="8"/>
        <v>#N/A</v>
      </c>
      <c r="AD51" s="2" t="e">
        <f t="shared" si="9"/>
        <v>#N/A</v>
      </c>
    </row>
    <row r="52" spans="28:30" x14ac:dyDescent="0.3">
      <c r="AB52" s="1" t="e">
        <f t="shared" si="7"/>
        <v>#N/A</v>
      </c>
      <c r="AC52" t="e">
        <f t="shared" si="8"/>
        <v>#N/A</v>
      </c>
      <c r="AD52" s="2" t="e">
        <f t="shared" si="9"/>
        <v>#N/A</v>
      </c>
    </row>
    <row r="53" spans="28:30" x14ac:dyDescent="0.3">
      <c r="AB53" s="1" t="e">
        <f t="shared" si="7"/>
        <v>#N/A</v>
      </c>
      <c r="AC53" t="e">
        <f t="shared" si="8"/>
        <v>#N/A</v>
      </c>
      <c r="AD53" s="2" t="e">
        <f t="shared" si="9"/>
        <v>#N/A</v>
      </c>
    </row>
    <row r="54" spans="28:30" x14ac:dyDescent="0.3">
      <c r="AB54" s="1" t="e">
        <f t="shared" si="7"/>
        <v>#N/A</v>
      </c>
      <c r="AC54" t="e">
        <f t="shared" si="8"/>
        <v>#N/A</v>
      </c>
      <c r="AD54" s="2" t="e">
        <f t="shared" si="9"/>
        <v>#N/A</v>
      </c>
    </row>
    <row r="55" spans="28:30" x14ac:dyDescent="0.3">
      <c r="AB55" s="1" t="e">
        <f t="shared" si="7"/>
        <v>#N/A</v>
      </c>
      <c r="AC55" t="e">
        <f t="shared" si="8"/>
        <v>#N/A</v>
      </c>
      <c r="AD55" s="2" t="e">
        <f t="shared" si="9"/>
        <v>#N/A</v>
      </c>
    </row>
    <row r="56" spans="28:30" x14ac:dyDescent="0.3">
      <c r="AB56" s="1" t="e">
        <f t="shared" si="7"/>
        <v>#N/A</v>
      </c>
      <c r="AC56" t="e">
        <f t="shared" si="8"/>
        <v>#N/A</v>
      </c>
      <c r="AD56" s="2" t="e">
        <f t="shared" si="9"/>
        <v>#N/A</v>
      </c>
    </row>
    <row r="57" spans="28:30" x14ac:dyDescent="0.3">
      <c r="AB57" s="1" t="e">
        <f t="shared" si="7"/>
        <v>#N/A</v>
      </c>
      <c r="AC57" t="e">
        <f t="shared" si="8"/>
        <v>#N/A</v>
      </c>
      <c r="AD57" s="2" t="e">
        <f t="shared" si="9"/>
        <v>#N/A</v>
      </c>
    </row>
    <row r="58" spans="28:30" x14ac:dyDescent="0.3">
      <c r="AB58" s="1" t="e">
        <f t="shared" si="7"/>
        <v>#N/A</v>
      </c>
      <c r="AC58" t="e">
        <f t="shared" si="8"/>
        <v>#N/A</v>
      </c>
      <c r="AD58" s="2" t="e">
        <f t="shared" si="9"/>
        <v>#N/A</v>
      </c>
    </row>
    <row r="59" spans="28:30" x14ac:dyDescent="0.3">
      <c r="AB59" s="1" t="e">
        <f t="shared" si="7"/>
        <v>#N/A</v>
      </c>
      <c r="AC59" t="e">
        <f t="shared" si="8"/>
        <v>#N/A</v>
      </c>
      <c r="AD59" s="2" t="e">
        <f t="shared" si="9"/>
        <v>#N/A</v>
      </c>
    </row>
    <row r="60" spans="28:30" x14ac:dyDescent="0.3">
      <c r="AB60" s="1" t="e">
        <f t="shared" si="7"/>
        <v>#N/A</v>
      </c>
      <c r="AC60" t="e">
        <f t="shared" si="8"/>
        <v>#N/A</v>
      </c>
      <c r="AD60" s="2" t="e">
        <f t="shared" si="9"/>
        <v>#N/A</v>
      </c>
    </row>
    <row r="61" spans="28:30" x14ac:dyDescent="0.3">
      <c r="AB61" s="1" t="e">
        <f t="shared" si="7"/>
        <v>#N/A</v>
      </c>
      <c r="AC61" t="e">
        <f t="shared" si="8"/>
        <v>#N/A</v>
      </c>
      <c r="AD61" s="2" t="e">
        <f t="shared" si="9"/>
        <v>#N/A</v>
      </c>
    </row>
    <row r="62" spans="28:30" x14ac:dyDescent="0.3">
      <c r="AB62" s="1" t="e">
        <f t="shared" si="7"/>
        <v>#N/A</v>
      </c>
      <c r="AC62" t="e">
        <f t="shared" si="8"/>
        <v>#N/A</v>
      </c>
      <c r="AD62" s="2" t="e">
        <f t="shared" si="9"/>
        <v>#N/A</v>
      </c>
    </row>
    <row r="63" spans="28:30" x14ac:dyDescent="0.3">
      <c r="AB63" s="1" t="e">
        <f t="shared" si="7"/>
        <v>#N/A</v>
      </c>
      <c r="AC63" t="e">
        <f t="shared" si="8"/>
        <v>#N/A</v>
      </c>
      <c r="AD63" s="2" t="e">
        <f t="shared" si="9"/>
        <v>#N/A</v>
      </c>
    </row>
    <row r="64" spans="28:30" x14ac:dyDescent="0.3">
      <c r="AB64" s="1" t="e">
        <f t="shared" si="7"/>
        <v>#N/A</v>
      </c>
      <c r="AC64" t="e">
        <f t="shared" si="8"/>
        <v>#N/A</v>
      </c>
      <c r="AD64" s="2" t="e">
        <f t="shared" si="9"/>
        <v>#N/A</v>
      </c>
    </row>
    <row r="65" spans="28:30" x14ac:dyDescent="0.3">
      <c r="AB65" s="1" t="e">
        <f t="shared" si="7"/>
        <v>#N/A</v>
      </c>
      <c r="AC65" t="e">
        <f t="shared" si="8"/>
        <v>#N/A</v>
      </c>
      <c r="AD65" s="2" t="e">
        <f t="shared" si="9"/>
        <v>#N/A</v>
      </c>
    </row>
    <row r="66" spans="28:30" x14ac:dyDescent="0.3">
      <c r="AB66" s="1" t="e">
        <f t="shared" ref="AB66:AB97" si="10">IF(L66="",NA(),L66)</f>
        <v>#N/A</v>
      </c>
      <c r="AC66" t="e">
        <f t="shared" ref="AC66:AC97" si="11">IF(M66="",NA(),M66)</f>
        <v>#N/A</v>
      </c>
      <c r="AD66" s="2" t="e">
        <f t="shared" ref="AD66:AD97" si="12">IF(N66="",NA(),N66)</f>
        <v>#N/A</v>
      </c>
    </row>
    <row r="67" spans="28:30" x14ac:dyDescent="0.3">
      <c r="AB67" s="1" t="e">
        <f t="shared" si="10"/>
        <v>#N/A</v>
      </c>
      <c r="AC67" t="e">
        <f t="shared" si="11"/>
        <v>#N/A</v>
      </c>
      <c r="AD67" s="2" t="e">
        <f t="shared" si="12"/>
        <v>#N/A</v>
      </c>
    </row>
    <row r="68" spans="28:30" x14ac:dyDescent="0.3">
      <c r="AB68" s="1" t="e">
        <f t="shared" si="10"/>
        <v>#N/A</v>
      </c>
      <c r="AC68" t="e">
        <f t="shared" si="11"/>
        <v>#N/A</v>
      </c>
      <c r="AD68" s="2" t="e">
        <f t="shared" si="12"/>
        <v>#N/A</v>
      </c>
    </row>
    <row r="69" spans="28:30" x14ac:dyDescent="0.3">
      <c r="AB69" s="1" t="e">
        <f t="shared" si="10"/>
        <v>#N/A</v>
      </c>
      <c r="AC69" t="e">
        <f t="shared" si="11"/>
        <v>#N/A</v>
      </c>
      <c r="AD69" s="2" t="e">
        <f t="shared" si="12"/>
        <v>#N/A</v>
      </c>
    </row>
    <row r="70" spans="28:30" x14ac:dyDescent="0.3">
      <c r="AB70" s="1" t="e">
        <f t="shared" si="10"/>
        <v>#N/A</v>
      </c>
      <c r="AC70" t="e">
        <f t="shared" si="11"/>
        <v>#N/A</v>
      </c>
      <c r="AD70" s="2" t="e">
        <f t="shared" si="12"/>
        <v>#N/A</v>
      </c>
    </row>
    <row r="71" spans="28:30" x14ac:dyDescent="0.3">
      <c r="AB71" s="1" t="e">
        <f t="shared" si="10"/>
        <v>#N/A</v>
      </c>
      <c r="AC71" t="e">
        <f t="shared" si="11"/>
        <v>#N/A</v>
      </c>
      <c r="AD71" s="2" t="e">
        <f t="shared" si="12"/>
        <v>#N/A</v>
      </c>
    </row>
    <row r="72" spans="28:30" x14ac:dyDescent="0.3">
      <c r="AB72" s="1" t="e">
        <f t="shared" si="10"/>
        <v>#N/A</v>
      </c>
      <c r="AC72" t="e">
        <f t="shared" si="11"/>
        <v>#N/A</v>
      </c>
      <c r="AD72" s="2" t="e">
        <f t="shared" si="12"/>
        <v>#N/A</v>
      </c>
    </row>
    <row r="73" spans="28:30" x14ac:dyDescent="0.3">
      <c r="AB73" s="1" t="e">
        <f t="shared" si="10"/>
        <v>#N/A</v>
      </c>
      <c r="AC73" t="e">
        <f t="shared" si="11"/>
        <v>#N/A</v>
      </c>
      <c r="AD73" s="2" t="e">
        <f t="shared" si="12"/>
        <v>#N/A</v>
      </c>
    </row>
    <row r="74" spans="28:30" x14ac:dyDescent="0.3">
      <c r="AB74" s="1" t="e">
        <f t="shared" si="10"/>
        <v>#N/A</v>
      </c>
      <c r="AC74" t="e">
        <f t="shared" si="11"/>
        <v>#N/A</v>
      </c>
      <c r="AD74" s="2" t="e">
        <f t="shared" si="12"/>
        <v>#N/A</v>
      </c>
    </row>
    <row r="75" spans="28:30" x14ac:dyDescent="0.3">
      <c r="AB75" s="1" t="e">
        <f t="shared" si="10"/>
        <v>#N/A</v>
      </c>
      <c r="AC75" t="e">
        <f t="shared" si="11"/>
        <v>#N/A</v>
      </c>
      <c r="AD75" s="2" t="e">
        <f t="shared" si="12"/>
        <v>#N/A</v>
      </c>
    </row>
    <row r="76" spans="28:30" x14ac:dyDescent="0.3">
      <c r="AB76" s="1" t="e">
        <f t="shared" si="10"/>
        <v>#N/A</v>
      </c>
      <c r="AC76" t="e">
        <f t="shared" si="11"/>
        <v>#N/A</v>
      </c>
      <c r="AD76" s="2" t="e">
        <f t="shared" si="12"/>
        <v>#N/A</v>
      </c>
    </row>
    <row r="77" spans="28:30" x14ac:dyDescent="0.3">
      <c r="AB77" s="1" t="e">
        <f t="shared" si="10"/>
        <v>#N/A</v>
      </c>
      <c r="AC77" t="e">
        <f t="shared" si="11"/>
        <v>#N/A</v>
      </c>
      <c r="AD77" s="2" t="e">
        <f t="shared" si="12"/>
        <v>#N/A</v>
      </c>
    </row>
    <row r="78" spans="28:30" x14ac:dyDescent="0.3">
      <c r="AB78" s="1" t="e">
        <f t="shared" si="10"/>
        <v>#N/A</v>
      </c>
      <c r="AC78" t="e">
        <f t="shared" si="11"/>
        <v>#N/A</v>
      </c>
      <c r="AD78" s="2" t="e">
        <f t="shared" si="12"/>
        <v>#N/A</v>
      </c>
    </row>
    <row r="79" spans="28:30" x14ac:dyDescent="0.3">
      <c r="AB79" s="1" t="e">
        <f t="shared" si="10"/>
        <v>#N/A</v>
      </c>
      <c r="AC79" t="e">
        <f t="shared" si="11"/>
        <v>#N/A</v>
      </c>
      <c r="AD79" s="2" t="e">
        <f t="shared" si="12"/>
        <v>#N/A</v>
      </c>
    </row>
    <row r="80" spans="28:30" x14ac:dyDescent="0.3">
      <c r="AB80" s="1" t="e">
        <f t="shared" si="10"/>
        <v>#N/A</v>
      </c>
      <c r="AC80" t="e">
        <f t="shared" si="11"/>
        <v>#N/A</v>
      </c>
      <c r="AD80" s="2" t="e">
        <f t="shared" si="12"/>
        <v>#N/A</v>
      </c>
    </row>
    <row r="81" spans="28:30" x14ac:dyDescent="0.3">
      <c r="AB81" s="1" t="e">
        <f t="shared" si="10"/>
        <v>#N/A</v>
      </c>
      <c r="AC81" t="e">
        <f t="shared" si="11"/>
        <v>#N/A</v>
      </c>
      <c r="AD81" s="2" t="e">
        <f t="shared" si="12"/>
        <v>#N/A</v>
      </c>
    </row>
    <row r="82" spans="28:30" x14ac:dyDescent="0.3">
      <c r="AB82" s="1" t="e">
        <f t="shared" si="10"/>
        <v>#N/A</v>
      </c>
      <c r="AC82" t="e">
        <f t="shared" si="11"/>
        <v>#N/A</v>
      </c>
      <c r="AD82" s="2" t="e">
        <f t="shared" si="12"/>
        <v>#N/A</v>
      </c>
    </row>
    <row r="83" spans="28:30" x14ac:dyDescent="0.3">
      <c r="AB83" s="1" t="e">
        <f t="shared" si="10"/>
        <v>#N/A</v>
      </c>
      <c r="AC83" t="e">
        <f t="shared" si="11"/>
        <v>#N/A</v>
      </c>
      <c r="AD83" s="2" t="e">
        <f t="shared" si="12"/>
        <v>#N/A</v>
      </c>
    </row>
    <row r="84" spans="28:30" x14ac:dyDescent="0.3">
      <c r="AB84" s="1" t="e">
        <f t="shared" si="10"/>
        <v>#N/A</v>
      </c>
      <c r="AC84" t="e">
        <f t="shared" si="11"/>
        <v>#N/A</v>
      </c>
      <c r="AD84" s="2" t="e">
        <f t="shared" si="12"/>
        <v>#N/A</v>
      </c>
    </row>
    <row r="85" spans="28:30" x14ac:dyDescent="0.3">
      <c r="AB85" s="1" t="e">
        <f t="shared" si="10"/>
        <v>#N/A</v>
      </c>
      <c r="AC85" t="e">
        <f t="shared" si="11"/>
        <v>#N/A</v>
      </c>
      <c r="AD85" s="2" t="e">
        <f t="shared" si="12"/>
        <v>#N/A</v>
      </c>
    </row>
    <row r="86" spans="28:30" x14ac:dyDescent="0.3">
      <c r="AB86" s="1" t="e">
        <f t="shared" si="10"/>
        <v>#N/A</v>
      </c>
      <c r="AC86" t="e">
        <f t="shared" si="11"/>
        <v>#N/A</v>
      </c>
      <c r="AD86" s="2" t="e">
        <f t="shared" si="12"/>
        <v>#N/A</v>
      </c>
    </row>
    <row r="87" spans="28:30" x14ac:dyDescent="0.3">
      <c r="AB87" s="1" t="e">
        <f t="shared" si="10"/>
        <v>#N/A</v>
      </c>
      <c r="AC87" t="e">
        <f t="shared" si="11"/>
        <v>#N/A</v>
      </c>
      <c r="AD87" s="2" t="e">
        <f t="shared" si="12"/>
        <v>#N/A</v>
      </c>
    </row>
    <row r="88" spans="28:30" x14ac:dyDescent="0.3">
      <c r="AB88" s="1" t="e">
        <f t="shared" si="10"/>
        <v>#N/A</v>
      </c>
      <c r="AC88" t="e">
        <f t="shared" si="11"/>
        <v>#N/A</v>
      </c>
      <c r="AD88" s="2" t="e">
        <f t="shared" si="12"/>
        <v>#N/A</v>
      </c>
    </row>
    <row r="89" spans="28:30" x14ac:dyDescent="0.3">
      <c r="AB89" s="1" t="e">
        <f t="shared" si="10"/>
        <v>#N/A</v>
      </c>
      <c r="AC89" t="e">
        <f t="shared" si="11"/>
        <v>#N/A</v>
      </c>
      <c r="AD89" s="2" t="e">
        <f t="shared" si="12"/>
        <v>#N/A</v>
      </c>
    </row>
    <row r="90" spans="28:30" x14ac:dyDescent="0.3">
      <c r="AB90" s="1" t="e">
        <f t="shared" si="10"/>
        <v>#N/A</v>
      </c>
      <c r="AC90" t="e">
        <f t="shared" si="11"/>
        <v>#N/A</v>
      </c>
      <c r="AD90" s="2" t="e">
        <f t="shared" si="12"/>
        <v>#N/A</v>
      </c>
    </row>
    <row r="91" spans="28:30" x14ac:dyDescent="0.3">
      <c r="AB91" s="1" t="e">
        <f t="shared" si="10"/>
        <v>#N/A</v>
      </c>
      <c r="AC91" t="e">
        <f t="shared" si="11"/>
        <v>#N/A</v>
      </c>
      <c r="AD91" s="2" t="e">
        <f t="shared" si="12"/>
        <v>#N/A</v>
      </c>
    </row>
    <row r="92" spans="28:30" x14ac:dyDescent="0.3">
      <c r="AB92" s="1" t="e">
        <f t="shared" si="10"/>
        <v>#N/A</v>
      </c>
      <c r="AC92" t="e">
        <f t="shared" si="11"/>
        <v>#N/A</v>
      </c>
      <c r="AD92" s="2" t="e">
        <f t="shared" si="12"/>
        <v>#N/A</v>
      </c>
    </row>
    <row r="93" spans="28:30" x14ac:dyDescent="0.3">
      <c r="AB93" s="1" t="e">
        <f t="shared" si="10"/>
        <v>#N/A</v>
      </c>
      <c r="AC93" t="e">
        <f t="shared" si="11"/>
        <v>#N/A</v>
      </c>
      <c r="AD93" s="2" t="e">
        <f t="shared" si="12"/>
        <v>#N/A</v>
      </c>
    </row>
    <row r="94" spans="28:30" x14ac:dyDescent="0.3">
      <c r="AB94" s="1" t="e">
        <f t="shared" si="10"/>
        <v>#N/A</v>
      </c>
      <c r="AC94" t="e">
        <f t="shared" si="11"/>
        <v>#N/A</v>
      </c>
      <c r="AD94" s="2" t="e">
        <f t="shared" si="12"/>
        <v>#N/A</v>
      </c>
    </row>
    <row r="95" spans="28:30" x14ac:dyDescent="0.3">
      <c r="AB95" s="1" t="e">
        <f t="shared" si="10"/>
        <v>#N/A</v>
      </c>
      <c r="AC95" t="e">
        <f t="shared" si="11"/>
        <v>#N/A</v>
      </c>
      <c r="AD95" s="2" t="e">
        <f t="shared" si="12"/>
        <v>#N/A</v>
      </c>
    </row>
    <row r="96" spans="28:30" x14ac:dyDescent="0.3">
      <c r="AB96" s="1" t="e">
        <f t="shared" si="10"/>
        <v>#N/A</v>
      </c>
      <c r="AC96" t="e">
        <f t="shared" si="11"/>
        <v>#N/A</v>
      </c>
      <c r="AD96" s="2" t="e">
        <f t="shared" si="12"/>
        <v>#N/A</v>
      </c>
    </row>
    <row r="97" spans="28:30" x14ac:dyDescent="0.3">
      <c r="AB97" s="1" t="e">
        <f t="shared" si="10"/>
        <v>#N/A</v>
      </c>
      <c r="AC97" t="e">
        <f t="shared" si="11"/>
        <v>#N/A</v>
      </c>
      <c r="AD97" s="2" t="e">
        <f t="shared" si="12"/>
        <v>#N/A</v>
      </c>
    </row>
    <row r="98" spans="28:30" x14ac:dyDescent="0.3">
      <c r="AB98" s="1" t="e">
        <f t="shared" ref="AB98:AB120" si="13">IF(L98="",NA(),L98)</f>
        <v>#N/A</v>
      </c>
      <c r="AC98" t="e">
        <f t="shared" ref="AC98:AC120" si="14">IF(M98="",NA(),M98)</f>
        <v>#N/A</v>
      </c>
      <c r="AD98" s="2" t="e">
        <f t="shared" ref="AD98:AD120" si="15">IF(N98="",NA(),N98)</f>
        <v>#N/A</v>
      </c>
    </row>
    <row r="99" spans="28:30" x14ac:dyDescent="0.3">
      <c r="AB99" s="1" t="e">
        <f t="shared" si="13"/>
        <v>#N/A</v>
      </c>
      <c r="AC99" t="e">
        <f t="shared" si="14"/>
        <v>#N/A</v>
      </c>
      <c r="AD99" s="2" t="e">
        <f t="shared" si="15"/>
        <v>#N/A</v>
      </c>
    </row>
    <row r="100" spans="28:30" x14ac:dyDescent="0.3">
      <c r="AB100" s="1" t="e">
        <f t="shared" si="13"/>
        <v>#N/A</v>
      </c>
      <c r="AC100" t="e">
        <f t="shared" si="14"/>
        <v>#N/A</v>
      </c>
      <c r="AD100" s="2" t="e">
        <f t="shared" si="15"/>
        <v>#N/A</v>
      </c>
    </row>
    <row r="101" spans="28:30" x14ac:dyDescent="0.3">
      <c r="AB101" s="1" t="e">
        <f t="shared" si="13"/>
        <v>#N/A</v>
      </c>
      <c r="AC101" t="e">
        <f t="shared" si="14"/>
        <v>#N/A</v>
      </c>
      <c r="AD101" s="2" t="e">
        <f t="shared" si="15"/>
        <v>#N/A</v>
      </c>
    </row>
    <row r="102" spans="28:30" x14ac:dyDescent="0.3">
      <c r="AB102" s="1" t="e">
        <f t="shared" si="13"/>
        <v>#N/A</v>
      </c>
      <c r="AC102" t="e">
        <f t="shared" si="14"/>
        <v>#N/A</v>
      </c>
      <c r="AD102" s="2" t="e">
        <f t="shared" si="15"/>
        <v>#N/A</v>
      </c>
    </row>
    <row r="103" spans="28:30" x14ac:dyDescent="0.3">
      <c r="AB103" s="1" t="e">
        <f t="shared" si="13"/>
        <v>#N/A</v>
      </c>
      <c r="AC103" t="e">
        <f t="shared" si="14"/>
        <v>#N/A</v>
      </c>
      <c r="AD103" s="2" t="e">
        <f t="shared" si="15"/>
        <v>#N/A</v>
      </c>
    </row>
    <row r="104" spans="28:30" x14ac:dyDescent="0.3">
      <c r="AB104" s="1" t="e">
        <f t="shared" si="13"/>
        <v>#N/A</v>
      </c>
      <c r="AC104" t="e">
        <f t="shared" si="14"/>
        <v>#N/A</v>
      </c>
      <c r="AD104" s="2" t="e">
        <f t="shared" si="15"/>
        <v>#N/A</v>
      </c>
    </row>
    <row r="105" spans="28:30" x14ac:dyDescent="0.3">
      <c r="AB105" s="1" t="e">
        <f t="shared" si="13"/>
        <v>#N/A</v>
      </c>
      <c r="AC105" t="e">
        <f t="shared" si="14"/>
        <v>#N/A</v>
      </c>
      <c r="AD105" s="2" t="e">
        <f t="shared" si="15"/>
        <v>#N/A</v>
      </c>
    </row>
    <row r="106" spans="28:30" x14ac:dyDescent="0.3">
      <c r="AB106" s="1" t="e">
        <f t="shared" si="13"/>
        <v>#N/A</v>
      </c>
      <c r="AC106" t="e">
        <f t="shared" si="14"/>
        <v>#N/A</v>
      </c>
      <c r="AD106" s="2" t="e">
        <f t="shared" si="15"/>
        <v>#N/A</v>
      </c>
    </row>
    <row r="107" spans="28:30" x14ac:dyDescent="0.3">
      <c r="AB107" s="1" t="e">
        <f t="shared" si="13"/>
        <v>#N/A</v>
      </c>
      <c r="AC107" t="e">
        <f t="shared" si="14"/>
        <v>#N/A</v>
      </c>
      <c r="AD107" s="2" t="e">
        <f t="shared" si="15"/>
        <v>#N/A</v>
      </c>
    </row>
    <row r="108" spans="28:30" x14ac:dyDescent="0.3">
      <c r="AB108" s="1" t="e">
        <f t="shared" si="13"/>
        <v>#N/A</v>
      </c>
      <c r="AC108" t="e">
        <f t="shared" si="14"/>
        <v>#N/A</v>
      </c>
      <c r="AD108" s="2" t="e">
        <f t="shared" si="15"/>
        <v>#N/A</v>
      </c>
    </row>
    <row r="109" spans="28:30" x14ac:dyDescent="0.3">
      <c r="AB109" s="1" t="e">
        <f t="shared" si="13"/>
        <v>#N/A</v>
      </c>
      <c r="AC109" t="e">
        <f t="shared" si="14"/>
        <v>#N/A</v>
      </c>
      <c r="AD109" s="2" t="e">
        <f t="shared" si="15"/>
        <v>#N/A</v>
      </c>
    </row>
    <row r="110" spans="28:30" x14ac:dyDescent="0.3">
      <c r="AB110" s="1" t="e">
        <f t="shared" si="13"/>
        <v>#N/A</v>
      </c>
      <c r="AC110" t="e">
        <f t="shared" si="14"/>
        <v>#N/A</v>
      </c>
      <c r="AD110" s="2" t="e">
        <f t="shared" si="15"/>
        <v>#N/A</v>
      </c>
    </row>
    <row r="111" spans="28:30" x14ac:dyDescent="0.3">
      <c r="AB111" s="1" t="e">
        <f t="shared" si="13"/>
        <v>#N/A</v>
      </c>
      <c r="AC111" t="e">
        <f t="shared" si="14"/>
        <v>#N/A</v>
      </c>
      <c r="AD111" s="2" t="e">
        <f t="shared" si="15"/>
        <v>#N/A</v>
      </c>
    </row>
    <row r="112" spans="28:30" x14ac:dyDescent="0.3">
      <c r="AB112" s="1" t="e">
        <f t="shared" si="13"/>
        <v>#N/A</v>
      </c>
      <c r="AC112" t="e">
        <f t="shared" si="14"/>
        <v>#N/A</v>
      </c>
      <c r="AD112" s="2" t="e">
        <f t="shared" si="15"/>
        <v>#N/A</v>
      </c>
    </row>
    <row r="113" spans="13:30" x14ac:dyDescent="0.3">
      <c r="AB113" s="1" t="e">
        <f t="shared" si="13"/>
        <v>#N/A</v>
      </c>
      <c r="AC113" t="e">
        <f t="shared" si="14"/>
        <v>#N/A</v>
      </c>
      <c r="AD113" s="2" t="e">
        <f t="shared" si="15"/>
        <v>#N/A</v>
      </c>
    </row>
    <row r="114" spans="13:30" x14ac:dyDescent="0.3">
      <c r="AB114" s="1" t="e">
        <f t="shared" si="13"/>
        <v>#N/A</v>
      </c>
      <c r="AC114" t="e">
        <f t="shared" si="14"/>
        <v>#N/A</v>
      </c>
      <c r="AD114" s="2" t="e">
        <f t="shared" si="15"/>
        <v>#N/A</v>
      </c>
    </row>
    <row r="115" spans="13:30" x14ac:dyDescent="0.3">
      <c r="AB115" s="1" t="e">
        <f t="shared" si="13"/>
        <v>#N/A</v>
      </c>
      <c r="AC115" t="e">
        <f t="shared" si="14"/>
        <v>#N/A</v>
      </c>
      <c r="AD115" s="2" t="e">
        <f t="shared" si="15"/>
        <v>#N/A</v>
      </c>
    </row>
    <row r="116" spans="13:30" x14ac:dyDescent="0.3">
      <c r="AB116" s="1" t="e">
        <f t="shared" si="13"/>
        <v>#N/A</v>
      </c>
      <c r="AC116" t="e">
        <f t="shared" si="14"/>
        <v>#N/A</v>
      </c>
      <c r="AD116" s="2" t="e">
        <f t="shared" si="15"/>
        <v>#N/A</v>
      </c>
    </row>
    <row r="117" spans="13:30" x14ac:dyDescent="0.3">
      <c r="AB117" s="1" t="e">
        <f t="shared" si="13"/>
        <v>#N/A</v>
      </c>
      <c r="AC117" t="e">
        <f t="shared" si="14"/>
        <v>#N/A</v>
      </c>
      <c r="AD117" s="2" t="e">
        <f t="shared" si="15"/>
        <v>#N/A</v>
      </c>
    </row>
    <row r="118" spans="13:30" x14ac:dyDescent="0.3">
      <c r="AB118" s="1" t="e">
        <f t="shared" si="13"/>
        <v>#N/A</v>
      </c>
      <c r="AC118" t="e">
        <f t="shared" si="14"/>
        <v>#N/A</v>
      </c>
      <c r="AD118" s="2" t="e">
        <f t="shared" si="15"/>
        <v>#N/A</v>
      </c>
    </row>
    <row r="119" spans="13:30" x14ac:dyDescent="0.3">
      <c r="AB119" s="1" t="e">
        <f t="shared" si="13"/>
        <v>#N/A</v>
      </c>
      <c r="AC119" t="e">
        <f t="shared" si="14"/>
        <v>#N/A</v>
      </c>
      <c r="AD119" s="2" t="e">
        <f t="shared" si="15"/>
        <v>#N/A</v>
      </c>
    </row>
    <row r="120" spans="13:30" x14ac:dyDescent="0.3">
      <c r="M120" t="str">
        <f t="shared" ref="M120:M134" si="16">IF(G120=2030,F120,"")</f>
        <v/>
      </c>
      <c r="AB120" s="1" t="e">
        <f t="shared" si="13"/>
        <v>#N/A</v>
      </c>
      <c r="AC120" t="e">
        <f t="shared" si="14"/>
        <v>#N/A</v>
      </c>
      <c r="AD120" s="2" t="e">
        <f t="shared" si="15"/>
        <v>#N/A</v>
      </c>
    </row>
    <row r="121" spans="13:30" x14ac:dyDescent="0.3">
      <c r="M121" t="str">
        <f t="shared" si="16"/>
        <v/>
      </c>
      <c r="AC121" t="str">
        <f t="shared" ref="AC121:AC134" si="17">IF(V121=2030,S121,"")</f>
        <v/>
      </c>
    </row>
    <row r="122" spans="13:30" x14ac:dyDescent="0.3">
      <c r="M122" t="str">
        <f t="shared" si="16"/>
        <v/>
      </c>
      <c r="AC122" t="str">
        <f t="shared" si="17"/>
        <v/>
      </c>
    </row>
    <row r="123" spans="13:30" x14ac:dyDescent="0.3">
      <c r="M123" t="str">
        <f t="shared" si="16"/>
        <v/>
      </c>
      <c r="AC123" t="str">
        <f t="shared" si="17"/>
        <v/>
      </c>
    </row>
    <row r="124" spans="13:30" x14ac:dyDescent="0.3">
      <c r="M124" t="str">
        <f t="shared" si="16"/>
        <v/>
      </c>
      <c r="AC124" t="str">
        <f t="shared" si="17"/>
        <v/>
      </c>
    </row>
    <row r="125" spans="13:30" x14ac:dyDescent="0.3">
      <c r="M125" t="str">
        <f t="shared" si="16"/>
        <v/>
      </c>
      <c r="AC125" t="str">
        <f t="shared" si="17"/>
        <v/>
      </c>
    </row>
    <row r="126" spans="13:30" x14ac:dyDescent="0.3">
      <c r="M126" t="str">
        <f t="shared" si="16"/>
        <v/>
      </c>
      <c r="AC126" t="str">
        <f t="shared" si="17"/>
        <v/>
      </c>
    </row>
    <row r="127" spans="13:30" x14ac:dyDescent="0.3">
      <c r="M127" t="str">
        <f t="shared" si="16"/>
        <v/>
      </c>
      <c r="AC127" t="str">
        <f t="shared" si="17"/>
        <v/>
      </c>
    </row>
    <row r="128" spans="13:30" x14ac:dyDescent="0.3">
      <c r="M128" t="str">
        <f t="shared" si="16"/>
        <v/>
      </c>
      <c r="AC128" t="str">
        <f t="shared" si="17"/>
        <v/>
      </c>
    </row>
    <row r="129" spans="13:29" x14ac:dyDescent="0.3">
      <c r="M129" t="str">
        <f t="shared" si="16"/>
        <v/>
      </c>
      <c r="AC129" t="str">
        <f t="shared" si="17"/>
        <v/>
      </c>
    </row>
    <row r="130" spans="13:29" x14ac:dyDescent="0.3">
      <c r="M130" t="str">
        <f t="shared" si="16"/>
        <v/>
      </c>
      <c r="AC130" t="str">
        <f t="shared" si="17"/>
        <v/>
      </c>
    </row>
    <row r="131" spans="13:29" x14ac:dyDescent="0.3">
      <c r="M131" t="str">
        <f t="shared" si="16"/>
        <v/>
      </c>
      <c r="AC131" t="str">
        <f t="shared" si="17"/>
        <v/>
      </c>
    </row>
    <row r="132" spans="13:29" x14ac:dyDescent="0.3">
      <c r="M132" t="str">
        <f t="shared" si="16"/>
        <v/>
      </c>
      <c r="AC132" t="str">
        <f t="shared" si="17"/>
        <v/>
      </c>
    </row>
    <row r="133" spans="13:29" x14ac:dyDescent="0.3">
      <c r="M133" t="str">
        <f t="shared" si="16"/>
        <v/>
      </c>
      <c r="AC133" t="str">
        <f t="shared" si="17"/>
        <v/>
      </c>
    </row>
    <row r="134" spans="13:29" x14ac:dyDescent="0.3">
      <c r="M134" t="str">
        <f t="shared" si="16"/>
        <v/>
      </c>
      <c r="AC134" t="str">
        <f t="shared" si="17"/>
        <v/>
      </c>
    </row>
  </sheetData>
  <conditionalFormatting sqref="G1:G1048576">
    <cfRule type="cellIs" dxfId="16" priority="1" operator="between">
      <formula>2010</formula>
      <formula>2029</formula>
    </cfRule>
    <cfRule type="cellIs" dxfId="15" priority="2" operator="equal">
      <formula>2030</formula>
    </cfRule>
    <cfRule type="cellIs" dxfId="14" priority="3" operator="between">
      <formula>2039</formula>
      <formula>2050</formula>
    </cfRule>
  </conditionalFormatting>
  <conditionalFormatting sqref="I1:I1048576">
    <cfRule type="cellIs" dxfId="13" priority="4" operator="equal">
      <formula>"no"</formula>
    </cfRule>
    <cfRule type="cellIs" dxfId="12" priority="5" operator="equal">
      <formula>"yes"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CBCBD-A96E-4BAA-A62A-5B3DBB39CF8B}">
  <dimension ref="A1:AD134"/>
  <sheetViews>
    <sheetView topLeftCell="A6" zoomScaleNormal="100" workbookViewId="0">
      <selection activeCell="A26" sqref="A26:E29"/>
    </sheetView>
  </sheetViews>
  <sheetFormatPr defaultColWidth="8.88671875" defaultRowHeight="14.4" x14ac:dyDescent="0.3"/>
  <cols>
    <col min="1" max="1" width="12.109375" customWidth="1"/>
    <col min="2" max="2" width="5.5546875" customWidth="1"/>
    <col min="3" max="3" width="23.6640625" customWidth="1"/>
    <col min="6" max="6" width="13.109375" style="3" customWidth="1"/>
    <col min="7" max="7" width="8.88671875" style="2"/>
    <col min="9" max="9" width="8.88671875" style="1"/>
    <col min="10" max="10" width="13.109375" style="2" customWidth="1"/>
    <col min="11" max="12" width="8.88671875" style="1"/>
    <col min="13" max="13" width="10.109375" customWidth="1"/>
    <col min="14" max="14" width="11.109375" style="2" customWidth="1"/>
    <col min="28" max="28" width="8.88671875" style="1"/>
    <col min="29" max="29" width="9.44140625" customWidth="1"/>
    <col min="30" max="30" width="9.5546875" style="2" customWidth="1"/>
  </cols>
  <sheetData>
    <row r="1" spans="1:30" s="4" customFormat="1" x14ac:dyDescent="0.3">
      <c r="A1" s="4" t="s">
        <v>10</v>
      </c>
      <c r="B1" s="4" t="s">
        <v>11</v>
      </c>
      <c r="C1" s="4" t="s">
        <v>12</v>
      </c>
      <c r="D1" s="4" t="s">
        <v>0</v>
      </c>
      <c r="E1" s="4" t="s">
        <v>1</v>
      </c>
      <c r="F1" s="5" t="s">
        <v>2</v>
      </c>
      <c r="G1" s="6" t="s">
        <v>3</v>
      </c>
      <c r="I1" s="7" t="s">
        <v>182</v>
      </c>
      <c r="J1" s="4" t="s">
        <v>2</v>
      </c>
      <c r="K1" s="7"/>
      <c r="L1" s="11" t="s">
        <v>39</v>
      </c>
      <c r="M1" s="12" t="s">
        <v>43</v>
      </c>
      <c r="N1" s="26" t="s">
        <v>44</v>
      </c>
      <c r="AB1" s="8" t="s">
        <v>39</v>
      </c>
      <c r="AC1" s="9" t="s">
        <v>43</v>
      </c>
      <c r="AD1" s="10" t="s">
        <v>44</v>
      </c>
    </row>
    <row r="2" spans="1:30" ht="15" thickBot="1" x14ac:dyDescent="0.35">
      <c r="A2" t="s">
        <v>94</v>
      </c>
      <c r="B2" t="s">
        <v>95</v>
      </c>
      <c r="C2" t="s">
        <v>140</v>
      </c>
      <c r="E2" t="s">
        <v>7</v>
      </c>
      <c r="F2">
        <v>1600</v>
      </c>
      <c r="G2" s="2">
        <v>2017</v>
      </c>
      <c r="I2" s="1" t="s">
        <v>183</v>
      </c>
      <c r="J2" s="2">
        <f>IF(I2="yes",F2,"")</f>
        <v>1600</v>
      </c>
      <c r="L2" s="1">
        <f>IF(G2&lt;2025,J2,"")</f>
        <v>1600</v>
      </c>
      <c r="M2" t="str">
        <f>IF(G2=2030,J2,"")</f>
        <v/>
      </c>
      <c r="N2" s="2" t="str">
        <f>IF(G2&gt;2039,J2,"")</f>
        <v/>
      </c>
      <c r="AB2" s="1">
        <f t="shared" ref="AB2:AB33" si="0">IF(L2="",NA(),L2)</f>
        <v>1600</v>
      </c>
      <c r="AC2" t="e">
        <f t="shared" ref="AC2:AC33" si="1">IF(M2="",NA(),M2)</f>
        <v>#N/A</v>
      </c>
      <c r="AD2" s="2" t="e">
        <f t="shared" ref="AD2:AD33" si="2">IF(N2="",NA(),N2)</f>
        <v>#N/A</v>
      </c>
    </row>
    <row r="3" spans="1:30" ht="15.6" x14ac:dyDescent="0.3">
      <c r="E3" t="s">
        <v>8</v>
      </c>
      <c r="F3">
        <v>5000</v>
      </c>
      <c r="G3" s="2">
        <v>2017</v>
      </c>
      <c r="I3" s="1" t="s">
        <v>184</v>
      </c>
      <c r="J3" s="2" t="str">
        <f t="shared" ref="J3:J19" si="3">IF(I3="yes",F3,"")</f>
        <v/>
      </c>
      <c r="L3" s="1" t="str">
        <f t="shared" ref="L3:L19" si="4">IF(G3&lt;2025,J3,"")</f>
        <v/>
      </c>
      <c r="M3" t="str">
        <f t="shared" ref="M3:M19" si="5">IF(G3=2030,J3,"")</f>
        <v/>
      </c>
      <c r="N3" s="2" t="str">
        <f t="shared" ref="N3:N66" si="6">IF(G3&gt;2039,J3,"")</f>
        <v/>
      </c>
      <c r="V3" s="15" t="s">
        <v>188</v>
      </c>
      <c r="W3" s="16" t="s">
        <v>40</v>
      </c>
      <c r="X3" s="17" t="s">
        <v>42</v>
      </c>
      <c r="Y3" s="18" t="s">
        <v>41</v>
      </c>
      <c r="AB3" s="1" t="e">
        <f t="shared" si="0"/>
        <v>#N/A</v>
      </c>
      <c r="AC3" t="e">
        <f t="shared" si="1"/>
        <v>#N/A</v>
      </c>
      <c r="AD3" s="2" t="e">
        <f t="shared" si="2"/>
        <v>#N/A</v>
      </c>
    </row>
    <row r="4" spans="1:30" x14ac:dyDescent="0.3">
      <c r="A4" t="s">
        <v>141</v>
      </c>
      <c r="B4" t="s">
        <v>142</v>
      </c>
      <c r="C4" t="s">
        <v>143</v>
      </c>
      <c r="F4">
        <v>628</v>
      </c>
      <c r="G4" s="2">
        <v>2020</v>
      </c>
      <c r="I4" s="1" t="s">
        <v>184</v>
      </c>
      <c r="J4" s="2" t="str">
        <f t="shared" si="3"/>
        <v/>
      </c>
      <c r="L4" s="1" t="str">
        <f t="shared" si="4"/>
        <v/>
      </c>
      <c r="M4" t="str">
        <f t="shared" si="5"/>
        <v/>
      </c>
      <c r="N4" s="2" t="str">
        <f t="shared" si="6"/>
        <v/>
      </c>
      <c r="V4" s="19">
        <v>2020</v>
      </c>
      <c r="W4" s="14">
        <f>AVERAGE(L:L)</f>
        <v>1079.875</v>
      </c>
      <c r="X4" s="13">
        <f>MIN(L:L)</f>
        <v>677</v>
      </c>
      <c r="Y4" s="20">
        <f>MAX(L:L)</f>
        <v>1600</v>
      </c>
      <c r="AB4" s="1" t="e">
        <f t="shared" si="0"/>
        <v>#N/A</v>
      </c>
      <c r="AC4" t="e">
        <f t="shared" si="1"/>
        <v>#N/A</v>
      </c>
      <c r="AD4" s="2" t="e">
        <f t="shared" si="2"/>
        <v>#N/A</v>
      </c>
    </row>
    <row r="5" spans="1:30" x14ac:dyDescent="0.3">
      <c r="C5" t="s">
        <v>144</v>
      </c>
      <c r="E5" t="s">
        <v>7</v>
      </c>
      <c r="F5">
        <v>250</v>
      </c>
      <c r="G5" s="2">
        <v>2030</v>
      </c>
      <c r="I5" s="1" t="s">
        <v>184</v>
      </c>
      <c r="J5" s="2" t="str">
        <f t="shared" si="3"/>
        <v/>
      </c>
      <c r="L5" s="1" t="str">
        <f t="shared" si="4"/>
        <v/>
      </c>
      <c r="M5" t="str">
        <f t="shared" si="5"/>
        <v/>
      </c>
      <c r="N5" s="2" t="str">
        <f t="shared" si="6"/>
        <v/>
      </c>
      <c r="V5" s="21">
        <v>2030</v>
      </c>
      <c r="W5" s="14">
        <f>AVERAGE(M:M)</f>
        <v>587</v>
      </c>
      <c r="X5" s="13">
        <f>MIN(M:M)</f>
        <v>340</v>
      </c>
      <c r="Y5" s="20">
        <f>MAX(M:M)</f>
        <v>834</v>
      </c>
      <c r="AB5" s="1" t="e">
        <f t="shared" si="0"/>
        <v>#N/A</v>
      </c>
      <c r="AC5" t="e">
        <f t="shared" si="1"/>
        <v>#N/A</v>
      </c>
      <c r="AD5" s="2" t="e">
        <f t="shared" si="2"/>
        <v>#N/A</v>
      </c>
    </row>
    <row r="6" spans="1:30" ht="15" thickBot="1" x14ac:dyDescent="0.35">
      <c r="E6" t="s">
        <v>8</v>
      </c>
      <c r="F6">
        <v>430</v>
      </c>
      <c r="G6" s="2">
        <v>2030</v>
      </c>
      <c r="I6" s="1" t="s">
        <v>184</v>
      </c>
      <c r="J6" s="2" t="str">
        <f t="shared" si="3"/>
        <v/>
      </c>
      <c r="L6" s="1" t="str">
        <f t="shared" si="4"/>
        <v/>
      </c>
      <c r="M6" t="str">
        <f t="shared" si="5"/>
        <v/>
      </c>
      <c r="N6" s="2" t="str">
        <f t="shared" si="6"/>
        <v/>
      </c>
      <c r="V6" s="22">
        <v>2050</v>
      </c>
      <c r="W6" s="23">
        <f>AVERAGE(N:N)</f>
        <v>323</v>
      </c>
      <c r="X6" s="24">
        <f>MIN(N:N)</f>
        <v>165</v>
      </c>
      <c r="Y6" s="25">
        <f>MAX(N:N)</f>
        <v>481</v>
      </c>
      <c r="AB6" s="1" t="e">
        <f t="shared" si="0"/>
        <v>#N/A</v>
      </c>
      <c r="AC6" t="e">
        <f t="shared" si="1"/>
        <v>#N/A</v>
      </c>
      <c r="AD6" s="2" t="e">
        <f t="shared" si="2"/>
        <v>#N/A</v>
      </c>
    </row>
    <row r="7" spans="1:30" x14ac:dyDescent="0.3">
      <c r="C7" t="s">
        <v>145</v>
      </c>
      <c r="E7" t="s">
        <v>7</v>
      </c>
      <c r="F7">
        <v>170</v>
      </c>
      <c r="G7" s="2">
        <v>2050</v>
      </c>
      <c r="I7" s="1" t="s">
        <v>184</v>
      </c>
      <c r="J7" s="2" t="str">
        <f t="shared" si="3"/>
        <v/>
      </c>
      <c r="L7" s="1" t="str">
        <f t="shared" si="4"/>
        <v/>
      </c>
      <c r="M7" t="str">
        <f t="shared" si="5"/>
        <v/>
      </c>
      <c r="N7" s="2" t="str">
        <f t="shared" si="6"/>
        <v/>
      </c>
      <c r="AB7" s="1" t="e">
        <f t="shared" si="0"/>
        <v>#N/A</v>
      </c>
      <c r="AC7" t="e">
        <f t="shared" si="1"/>
        <v>#N/A</v>
      </c>
      <c r="AD7" s="2" t="e">
        <f t="shared" si="2"/>
        <v>#N/A</v>
      </c>
    </row>
    <row r="8" spans="1:30" x14ac:dyDescent="0.3">
      <c r="E8" t="s">
        <v>8</v>
      </c>
      <c r="F8">
        <v>330</v>
      </c>
      <c r="G8" s="2">
        <v>2050</v>
      </c>
      <c r="I8" s="1" t="s">
        <v>184</v>
      </c>
      <c r="J8" s="2" t="str">
        <f t="shared" si="3"/>
        <v/>
      </c>
      <c r="L8" s="1" t="str">
        <f t="shared" si="4"/>
        <v/>
      </c>
      <c r="M8" t="str">
        <f t="shared" si="5"/>
        <v/>
      </c>
      <c r="N8" s="2" t="str">
        <f t="shared" si="6"/>
        <v/>
      </c>
      <c r="AB8" s="1" t="e">
        <f t="shared" si="0"/>
        <v>#N/A</v>
      </c>
      <c r="AC8" t="e">
        <f t="shared" si="1"/>
        <v>#N/A</v>
      </c>
      <c r="AD8" s="2" t="e">
        <f t="shared" si="2"/>
        <v>#N/A</v>
      </c>
    </row>
    <row r="9" spans="1:30" x14ac:dyDescent="0.3">
      <c r="A9" t="s">
        <v>69</v>
      </c>
      <c r="B9" t="s">
        <v>148</v>
      </c>
      <c r="C9" t="s">
        <v>149</v>
      </c>
      <c r="F9">
        <v>1210</v>
      </c>
      <c r="G9" s="2">
        <v>2018</v>
      </c>
      <c r="I9" s="1" t="s">
        <v>183</v>
      </c>
      <c r="J9" s="2">
        <f t="shared" si="3"/>
        <v>1210</v>
      </c>
      <c r="L9" s="1">
        <f t="shared" si="4"/>
        <v>1210</v>
      </c>
      <c r="M9" t="str">
        <f t="shared" si="5"/>
        <v/>
      </c>
      <c r="N9" s="2" t="str">
        <f t="shared" si="6"/>
        <v/>
      </c>
      <c r="AB9" s="1">
        <f t="shared" si="0"/>
        <v>1210</v>
      </c>
      <c r="AC9" t="e">
        <f t="shared" si="1"/>
        <v>#N/A</v>
      </c>
      <c r="AD9" s="2" t="e">
        <f t="shared" si="2"/>
        <v>#N/A</v>
      </c>
    </row>
    <row r="10" spans="1:30" x14ac:dyDescent="0.3">
      <c r="C10" t="s">
        <v>150</v>
      </c>
      <c r="E10" t="s">
        <v>7</v>
      </c>
      <c r="F10">
        <v>340</v>
      </c>
      <c r="G10" s="2">
        <v>2030</v>
      </c>
      <c r="I10" s="1" t="s">
        <v>183</v>
      </c>
      <c r="J10" s="2">
        <f t="shared" si="3"/>
        <v>340</v>
      </c>
      <c r="L10" s="1" t="str">
        <f t="shared" si="4"/>
        <v/>
      </c>
      <c r="M10">
        <f t="shared" si="5"/>
        <v>340</v>
      </c>
      <c r="N10" s="2" t="str">
        <f t="shared" si="6"/>
        <v/>
      </c>
      <c r="AB10" s="1" t="e">
        <f t="shared" si="0"/>
        <v>#N/A</v>
      </c>
      <c r="AC10">
        <f t="shared" si="1"/>
        <v>340</v>
      </c>
      <c r="AD10" s="2" t="e">
        <f t="shared" si="2"/>
        <v>#N/A</v>
      </c>
    </row>
    <row r="11" spans="1:30" x14ac:dyDescent="0.3">
      <c r="E11" t="s">
        <v>8</v>
      </c>
      <c r="F11">
        <v>834</v>
      </c>
      <c r="G11" s="2">
        <v>2030</v>
      </c>
      <c r="I11" s="1" t="s">
        <v>183</v>
      </c>
      <c r="J11" s="2">
        <f t="shared" si="3"/>
        <v>834</v>
      </c>
      <c r="L11" s="1" t="str">
        <f t="shared" si="4"/>
        <v/>
      </c>
      <c r="M11">
        <f t="shared" si="5"/>
        <v>834</v>
      </c>
      <c r="N11" s="2" t="str">
        <f t="shared" si="6"/>
        <v/>
      </c>
      <c r="AB11" s="1" t="e">
        <f t="shared" si="0"/>
        <v>#N/A</v>
      </c>
      <c r="AC11">
        <f t="shared" si="1"/>
        <v>834</v>
      </c>
      <c r="AD11" s="2" t="e">
        <f t="shared" si="2"/>
        <v>#N/A</v>
      </c>
    </row>
    <row r="12" spans="1:30" x14ac:dyDescent="0.3">
      <c r="C12" t="s">
        <v>151</v>
      </c>
      <c r="E12" t="s">
        <v>7</v>
      </c>
      <c r="F12">
        <v>165</v>
      </c>
      <c r="G12" s="2">
        <v>2050</v>
      </c>
      <c r="I12" s="1" t="s">
        <v>183</v>
      </c>
      <c r="J12" s="2">
        <f t="shared" si="3"/>
        <v>165</v>
      </c>
      <c r="L12" s="1" t="str">
        <f t="shared" si="4"/>
        <v/>
      </c>
      <c r="M12" t="str">
        <f t="shared" si="5"/>
        <v/>
      </c>
      <c r="N12" s="2">
        <f t="shared" si="6"/>
        <v>165</v>
      </c>
      <c r="AB12" s="1" t="e">
        <f t="shared" si="0"/>
        <v>#N/A</v>
      </c>
      <c r="AC12" t="e">
        <f t="shared" si="1"/>
        <v>#N/A</v>
      </c>
      <c r="AD12" s="2">
        <f t="shared" si="2"/>
        <v>165</v>
      </c>
    </row>
    <row r="13" spans="1:30" x14ac:dyDescent="0.3">
      <c r="E13" t="s">
        <v>8</v>
      </c>
      <c r="F13">
        <v>481</v>
      </c>
      <c r="G13" s="2">
        <v>2050</v>
      </c>
      <c r="I13" s="1" t="s">
        <v>183</v>
      </c>
      <c r="J13" s="2">
        <f t="shared" si="3"/>
        <v>481</v>
      </c>
      <c r="L13" s="1" t="str">
        <f t="shared" si="4"/>
        <v/>
      </c>
      <c r="M13" t="str">
        <f t="shared" si="5"/>
        <v/>
      </c>
      <c r="N13" s="2">
        <f t="shared" si="6"/>
        <v>481</v>
      </c>
      <c r="AB13" s="1" t="e">
        <f t="shared" si="0"/>
        <v>#N/A</v>
      </c>
      <c r="AC13" t="e">
        <f t="shared" si="1"/>
        <v>#N/A</v>
      </c>
      <c r="AD13" s="2">
        <f t="shared" si="2"/>
        <v>481</v>
      </c>
    </row>
    <row r="14" spans="1:30" x14ac:dyDescent="0.3">
      <c r="A14" t="s">
        <v>50</v>
      </c>
      <c r="B14" t="s">
        <v>152</v>
      </c>
      <c r="C14" t="s">
        <v>153</v>
      </c>
      <c r="D14" t="s">
        <v>154</v>
      </c>
      <c r="E14" t="s">
        <v>9</v>
      </c>
      <c r="F14">
        <v>1055</v>
      </c>
      <c r="G14" s="2">
        <v>2019</v>
      </c>
      <c r="I14" s="1" t="s">
        <v>183</v>
      </c>
      <c r="J14" s="2">
        <f t="shared" si="3"/>
        <v>1055</v>
      </c>
      <c r="L14" s="1">
        <f t="shared" si="4"/>
        <v>1055</v>
      </c>
      <c r="M14" t="str">
        <f t="shared" si="5"/>
        <v/>
      </c>
      <c r="N14" s="2" t="str">
        <f t="shared" si="6"/>
        <v/>
      </c>
      <c r="AB14" s="1">
        <f t="shared" si="0"/>
        <v>1055</v>
      </c>
      <c r="AC14" t="e">
        <f t="shared" si="1"/>
        <v>#N/A</v>
      </c>
      <c r="AD14" s="2" t="e">
        <f t="shared" si="2"/>
        <v>#N/A</v>
      </c>
    </row>
    <row r="15" spans="1:30" x14ac:dyDescent="0.3">
      <c r="D15" t="s">
        <v>154</v>
      </c>
      <c r="E15" t="s">
        <v>7</v>
      </c>
      <c r="F15">
        <v>677</v>
      </c>
      <c r="G15" s="2">
        <v>2019</v>
      </c>
      <c r="I15" s="1" t="s">
        <v>183</v>
      </c>
      <c r="J15" s="2">
        <f t="shared" si="3"/>
        <v>677</v>
      </c>
      <c r="L15" s="1">
        <f t="shared" si="4"/>
        <v>677</v>
      </c>
      <c r="M15" t="str">
        <f t="shared" si="5"/>
        <v/>
      </c>
      <c r="N15" s="2" t="str">
        <f t="shared" si="6"/>
        <v/>
      </c>
      <c r="AB15" s="1">
        <f t="shared" si="0"/>
        <v>677</v>
      </c>
      <c r="AC15" t="e">
        <f t="shared" si="1"/>
        <v>#N/A</v>
      </c>
      <c r="AD15" s="2" t="e">
        <f t="shared" si="2"/>
        <v>#N/A</v>
      </c>
    </row>
    <row r="16" spans="1:30" x14ac:dyDescent="0.3">
      <c r="D16" t="s">
        <v>154</v>
      </c>
      <c r="E16" t="s">
        <v>8</v>
      </c>
      <c r="F16">
        <v>1321</v>
      </c>
      <c r="G16" s="2">
        <v>2019</v>
      </c>
      <c r="I16" s="1" t="s">
        <v>183</v>
      </c>
      <c r="J16" s="2">
        <f t="shared" si="3"/>
        <v>1321</v>
      </c>
      <c r="L16" s="1">
        <f t="shared" si="4"/>
        <v>1321</v>
      </c>
      <c r="M16" t="str">
        <f t="shared" si="5"/>
        <v/>
      </c>
      <c r="N16" s="2" t="str">
        <f t="shared" si="6"/>
        <v/>
      </c>
      <c r="AB16" s="1">
        <f t="shared" si="0"/>
        <v>1321</v>
      </c>
      <c r="AC16" t="e">
        <f t="shared" si="1"/>
        <v>#N/A</v>
      </c>
      <c r="AD16" s="2" t="e">
        <f t="shared" si="2"/>
        <v>#N/A</v>
      </c>
    </row>
    <row r="17" spans="1:30" x14ac:dyDescent="0.3">
      <c r="A17" t="s">
        <v>155</v>
      </c>
      <c r="B17" t="s">
        <v>156</v>
      </c>
      <c r="C17" t="s">
        <v>157</v>
      </c>
      <c r="D17" t="s">
        <v>158</v>
      </c>
      <c r="F17">
        <v>876</v>
      </c>
      <c r="G17" s="2">
        <v>2022</v>
      </c>
      <c r="I17" s="1" t="s">
        <v>183</v>
      </c>
      <c r="J17" s="2">
        <f t="shared" si="3"/>
        <v>876</v>
      </c>
      <c r="L17" s="1">
        <f t="shared" si="4"/>
        <v>876</v>
      </c>
      <c r="M17" t="str">
        <f t="shared" si="5"/>
        <v/>
      </c>
      <c r="N17" s="2" t="str">
        <f t="shared" si="6"/>
        <v/>
      </c>
      <c r="AB17" s="1">
        <f t="shared" si="0"/>
        <v>876</v>
      </c>
      <c r="AC17" t="e">
        <f t="shared" si="1"/>
        <v>#N/A</v>
      </c>
      <c r="AD17" s="2" t="e">
        <f t="shared" si="2"/>
        <v>#N/A</v>
      </c>
    </row>
    <row r="18" spans="1:30" x14ac:dyDescent="0.3">
      <c r="C18" t="s">
        <v>159</v>
      </c>
      <c r="F18">
        <v>983</v>
      </c>
      <c r="G18" s="2">
        <v>2021</v>
      </c>
      <c r="I18" s="1" t="s">
        <v>183</v>
      </c>
      <c r="J18" s="2">
        <f t="shared" si="3"/>
        <v>983</v>
      </c>
      <c r="L18" s="1">
        <f t="shared" si="4"/>
        <v>983</v>
      </c>
      <c r="M18" t="str">
        <f t="shared" si="5"/>
        <v/>
      </c>
      <c r="N18" s="2" t="str">
        <f t="shared" si="6"/>
        <v/>
      </c>
      <c r="AB18" s="1">
        <f t="shared" si="0"/>
        <v>983</v>
      </c>
      <c r="AC18" t="e">
        <f t="shared" si="1"/>
        <v>#N/A</v>
      </c>
      <c r="AD18" s="2" t="e">
        <f t="shared" si="2"/>
        <v>#N/A</v>
      </c>
    </row>
    <row r="19" spans="1:30" x14ac:dyDescent="0.3">
      <c r="C19" t="s">
        <v>160</v>
      </c>
      <c r="F19">
        <v>917</v>
      </c>
      <c r="G19" s="2">
        <v>2020</v>
      </c>
      <c r="I19" s="1" t="s">
        <v>183</v>
      </c>
      <c r="J19" s="2">
        <f t="shared" si="3"/>
        <v>917</v>
      </c>
      <c r="L19" s="1">
        <f t="shared" si="4"/>
        <v>917</v>
      </c>
      <c r="M19" t="str">
        <f t="shared" si="5"/>
        <v/>
      </c>
      <c r="N19" s="2" t="str">
        <f t="shared" si="6"/>
        <v/>
      </c>
      <c r="AB19" s="1">
        <f t="shared" si="0"/>
        <v>917</v>
      </c>
      <c r="AC19" t="e">
        <f t="shared" si="1"/>
        <v>#N/A</v>
      </c>
      <c r="AD19" s="2" t="e">
        <f t="shared" si="2"/>
        <v>#N/A</v>
      </c>
    </row>
    <row r="20" spans="1:30" x14ac:dyDescent="0.3">
      <c r="AB20" s="1" t="e">
        <f t="shared" si="0"/>
        <v>#N/A</v>
      </c>
      <c r="AC20" t="e">
        <f t="shared" si="1"/>
        <v>#N/A</v>
      </c>
      <c r="AD20" s="2" t="e">
        <f t="shared" si="2"/>
        <v>#N/A</v>
      </c>
    </row>
    <row r="21" spans="1:30" x14ac:dyDescent="0.3">
      <c r="AB21" s="1" t="e">
        <f t="shared" si="0"/>
        <v>#N/A</v>
      </c>
      <c r="AC21" t="e">
        <f t="shared" si="1"/>
        <v>#N/A</v>
      </c>
      <c r="AD21" s="2" t="e">
        <f t="shared" si="2"/>
        <v>#N/A</v>
      </c>
    </row>
    <row r="22" spans="1:30" x14ac:dyDescent="0.3">
      <c r="AB22" s="1" t="e">
        <f t="shared" si="0"/>
        <v>#N/A</v>
      </c>
      <c r="AC22" t="e">
        <f t="shared" si="1"/>
        <v>#N/A</v>
      </c>
      <c r="AD22" s="2" t="e">
        <f t="shared" si="2"/>
        <v>#N/A</v>
      </c>
    </row>
    <row r="23" spans="1:30" x14ac:dyDescent="0.3">
      <c r="AB23" s="1" t="e">
        <f t="shared" si="0"/>
        <v>#N/A</v>
      </c>
      <c r="AC23" t="e">
        <f t="shared" si="1"/>
        <v>#N/A</v>
      </c>
      <c r="AD23" s="2" t="e">
        <f t="shared" si="2"/>
        <v>#N/A</v>
      </c>
    </row>
    <row r="24" spans="1:30" x14ac:dyDescent="0.3">
      <c r="F24"/>
      <c r="N24" s="2" t="str">
        <f t="shared" si="6"/>
        <v/>
      </c>
      <c r="AB24" s="1" t="e">
        <f t="shared" si="0"/>
        <v>#N/A</v>
      </c>
      <c r="AC24" t="e">
        <f t="shared" si="1"/>
        <v>#N/A</v>
      </c>
      <c r="AD24" s="2" t="e">
        <f t="shared" si="2"/>
        <v>#N/A</v>
      </c>
    </row>
    <row r="25" spans="1:30" x14ac:dyDescent="0.3">
      <c r="F25"/>
      <c r="N25" s="2" t="str">
        <f t="shared" si="6"/>
        <v/>
      </c>
      <c r="AB25" s="1" t="e">
        <f t="shared" si="0"/>
        <v>#N/A</v>
      </c>
      <c r="AC25" t="e">
        <f t="shared" si="1"/>
        <v>#N/A</v>
      </c>
      <c r="AD25" s="2" t="e">
        <f t="shared" si="2"/>
        <v>#N/A</v>
      </c>
    </row>
    <row r="26" spans="1:30" x14ac:dyDescent="0.3">
      <c r="F26"/>
      <c r="N26" s="2" t="str">
        <f t="shared" si="6"/>
        <v/>
      </c>
      <c r="AB26" s="1" t="e">
        <f t="shared" si="0"/>
        <v>#N/A</v>
      </c>
      <c r="AC26" t="e">
        <f t="shared" si="1"/>
        <v>#N/A</v>
      </c>
      <c r="AD26" s="2" t="e">
        <f t="shared" si="2"/>
        <v>#N/A</v>
      </c>
    </row>
    <row r="27" spans="1:30" x14ac:dyDescent="0.3">
      <c r="F27"/>
      <c r="N27" s="2" t="str">
        <f t="shared" si="6"/>
        <v/>
      </c>
      <c r="AB27" s="1" t="e">
        <f t="shared" si="0"/>
        <v>#N/A</v>
      </c>
      <c r="AC27" t="e">
        <f t="shared" si="1"/>
        <v>#N/A</v>
      </c>
      <c r="AD27" s="2" t="e">
        <f t="shared" si="2"/>
        <v>#N/A</v>
      </c>
    </row>
    <row r="28" spans="1:30" x14ac:dyDescent="0.3">
      <c r="F28"/>
      <c r="N28" s="2" t="str">
        <f t="shared" si="6"/>
        <v/>
      </c>
      <c r="AB28" s="1" t="e">
        <f t="shared" si="0"/>
        <v>#N/A</v>
      </c>
      <c r="AC28" t="e">
        <f t="shared" si="1"/>
        <v>#N/A</v>
      </c>
      <c r="AD28" s="2" t="e">
        <f t="shared" si="2"/>
        <v>#N/A</v>
      </c>
    </row>
    <row r="29" spans="1:30" x14ac:dyDescent="0.3">
      <c r="F29"/>
      <c r="N29" s="2" t="str">
        <f>IF(G29&gt;2039,J29,"")</f>
        <v/>
      </c>
      <c r="AB29" s="1" t="e">
        <f t="shared" si="0"/>
        <v>#N/A</v>
      </c>
      <c r="AC29" t="e">
        <f t="shared" si="1"/>
        <v>#N/A</v>
      </c>
      <c r="AD29" s="2" t="e">
        <f t="shared" si="2"/>
        <v>#N/A</v>
      </c>
    </row>
    <row r="30" spans="1:30" x14ac:dyDescent="0.3">
      <c r="F30"/>
      <c r="N30" s="2" t="str">
        <f t="shared" si="6"/>
        <v/>
      </c>
      <c r="AB30" s="1" t="e">
        <f t="shared" si="0"/>
        <v>#N/A</v>
      </c>
      <c r="AC30" t="e">
        <f t="shared" si="1"/>
        <v>#N/A</v>
      </c>
      <c r="AD30" s="2" t="e">
        <f t="shared" si="2"/>
        <v>#N/A</v>
      </c>
    </row>
    <row r="31" spans="1:30" x14ac:dyDescent="0.3">
      <c r="F31"/>
      <c r="N31" s="2" t="str">
        <f t="shared" si="6"/>
        <v/>
      </c>
      <c r="AB31" s="1" t="e">
        <f t="shared" si="0"/>
        <v>#N/A</v>
      </c>
      <c r="AC31" t="e">
        <f t="shared" si="1"/>
        <v>#N/A</v>
      </c>
      <c r="AD31" s="2" t="e">
        <f t="shared" si="2"/>
        <v>#N/A</v>
      </c>
    </row>
    <row r="32" spans="1:30" x14ac:dyDescent="0.3">
      <c r="F32"/>
      <c r="N32" s="2" t="str">
        <f t="shared" si="6"/>
        <v/>
      </c>
      <c r="AB32" s="1" t="e">
        <f t="shared" si="0"/>
        <v>#N/A</v>
      </c>
      <c r="AC32" t="e">
        <f t="shared" si="1"/>
        <v>#N/A</v>
      </c>
      <c r="AD32" s="2" t="e">
        <f t="shared" si="2"/>
        <v>#N/A</v>
      </c>
    </row>
    <row r="33" spans="6:30" x14ac:dyDescent="0.3">
      <c r="F33"/>
      <c r="N33" s="2" t="str">
        <f t="shared" si="6"/>
        <v/>
      </c>
      <c r="AB33" s="1" t="e">
        <f t="shared" si="0"/>
        <v>#N/A</v>
      </c>
      <c r="AC33" t="e">
        <f t="shared" si="1"/>
        <v>#N/A</v>
      </c>
      <c r="AD33" s="2" t="e">
        <f t="shared" si="2"/>
        <v>#N/A</v>
      </c>
    </row>
    <row r="34" spans="6:30" x14ac:dyDescent="0.3">
      <c r="F34"/>
      <c r="N34" s="2" t="str">
        <f t="shared" si="6"/>
        <v/>
      </c>
      <c r="AB34" s="1" t="e">
        <f t="shared" ref="AB34:AB65" si="7">IF(L34="",NA(),L34)</f>
        <v>#N/A</v>
      </c>
      <c r="AC34" t="e">
        <f t="shared" ref="AC34:AC65" si="8">IF(M34="",NA(),M34)</f>
        <v>#N/A</v>
      </c>
      <c r="AD34" s="2" t="e">
        <f t="shared" ref="AD34:AD65" si="9">IF(N34="",NA(),N34)</f>
        <v>#N/A</v>
      </c>
    </row>
    <row r="35" spans="6:30" x14ac:dyDescent="0.3">
      <c r="F35"/>
      <c r="N35" s="2" t="str">
        <f t="shared" si="6"/>
        <v/>
      </c>
      <c r="AB35" s="1" t="e">
        <f t="shared" si="7"/>
        <v>#N/A</v>
      </c>
      <c r="AC35" t="e">
        <f t="shared" si="8"/>
        <v>#N/A</v>
      </c>
      <c r="AD35" s="2" t="e">
        <f t="shared" si="9"/>
        <v>#N/A</v>
      </c>
    </row>
    <row r="36" spans="6:30" x14ac:dyDescent="0.3">
      <c r="F36"/>
      <c r="N36" s="2" t="str">
        <f t="shared" si="6"/>
        <v/>
      </c>
      <c r="AB36" s="1" t="e">
        <f t="shared" si="7"/>
        <v>#N/A</v>
      </c>
      <c r="AC36" t="e">
        <f t="shared" si="8"/>
        <v>#N/A</v>
      </c>
      <c r="AD36" s="2" t="e">
        <f t="shared" si="9"/>
        <v>#N/A</v>
      </c>
    </row>
    <row r="37" spans="6:30" x14ac:dyDescent="0.3">
      <c r="F37"/>
      <c r="N37" s="2" t="str">
        <f t="shared" si="6"/>
        <v/>
      </c>
      <c r="AB37" s="1" t="e">
        <f t="shared" si="7"/>
        <v>#N/A</v>
      </c>
      <c r="AC37" t="e">
        <f t="shared" si="8"/>
        <v>#N/A</v>
      </c>
      <c r="AD37" s="2" t="e">
        <f t="shared" si="9"/>
        <v>#N/A</v>
      </c>
    </row>
    <row r="38" spans="6:30" x14ac:dyDescent="0.3">
      <c r="F38"/>
      <c r="N38" s="2" t="str">
        <f t="shared" si="6"/>
        <v/>
      </c>
      <c r="AB38" s="1" t="e">
        <f t="shared" si="7"/>
        <v>#N/A</v>
      </c>
      <c r="AC38" t="e">
        <f t="shared" si="8"/>
        <v>#N/A</v>
      </c>
      <c r="AD38" s="2" t="e">
        <f t="shared" si="9"/>
        <v>#N/A</v>
      </c>
    </row>
    <row r="39" spans="6:30" x14ac:dyDescent="0.3">
      <c r="F39"/>
      <c r="N39" s="2" t="str">
        <f t="shared" si="6"/>
        <v/>
      </c>
      <c r="AB39" s="1" t="e">
        <f t="shared" si="7"/>
        <v>#N/A</v>
      </c>
      <c r="AC39" t="e">
        <f t="shared" si="8"/>
        <v>#N/A</v>
      </c>
      <c r="AD39" s="2" t="e">
        <f t="shared" si="9"/>
        <v>#N/A</v>
      </c>
    </row>
    <row r="40" spans="6:30" x14ac:dyDescent="0.3">
      <c r="F40"/>
      <c r="N40" s="2" t="str">
        <f t="shared" si="6"/>
        <v/>
      </c>
      <c r="AB40" s="1" t="e">
        <f t="shared" si="7"/>
        <v>#N/A</v>
      </c>
      <c r="AC40" t="e">
        <f t="shared" si="8"/>
        <v>#N/A</v>
      </c>
      <c r="AD40" s="2" t="e">
        <f t="shared" si="9"/>
        <v>#N/A</v>
      </c>
    </row>
    <row r="41" spans="6:30" x14ac:dyDescent="0.3">
      <c r="F41"/>
      <c r="N41" s="2" t="str">
        <f t="shared" si="6"/>
        <v/>
      </c>
      <c r="AB41" s="1" t="e">
        <f t="shared" si="7"/>
        <v>#N/A</v>
      </c>
      <c r="AC41" t="e">
        <f t="shared" si="8"/>
        <v>#N/A</v>
      </c>
      <c r="AD41" s="2" t="e">
        <f t="shared" si="9"/>
        <v>#N/A</v>
      </c>
    </row>
    <row r="42" spans="6:30" x14ac:dyDescent="0.3">
      <c r="F42"/>
      <c r="N42" s="2" t="str">
        <f t="shared" si="6"/>
        <v/>
      </c>
      <c r="AB42" s="1" t="e">
        <f t="shared" si="7"/>
        <v>#N/A</v>
      </c>
      <c r="AC42" t="e">
        <f t="shared" si="8"/>
        <v>#N/A</v>
      </c>
      <c r="AD42" s="2" t="e">
        <f t="shared" si="9"/>
        <v>#N/A</v>
      </c>
    </row>
    <row r="43" spans="6:30" x14ac:dyDescent="0.3">
      <c r="F43"/>
      <c r="N43" s="2" t="str">
        <f t="shared" si="6"/>
        <v/>
      </c>
      <c r="AB43" s="1" t="e">
        <f t="shared" si="7"/>
        <v>#N/A</v>
      </c>
      <c r="AC43" t="e">
        <f t="shared" si="8"/>
        <v>#N/A</v>
      </c>
      <c r="AD43" s="2" t="e">
        <f t="shared" si="9"/>
        <v>#N/A</v>
      </c>
    </row>
    <row r="44" spans="6:30" x14ac:dyDescent="0.3">
      <c r="F44"/>
      <c r="N44" s="2" t="str">
        <f t="shared" si="6"/>
        <v/>
      </c>
      <c r="AB44" s="1" t="e">
        <f t="shared" si="7"/>
        <v>#N/A</v>
      </c>
      <c r="AC44" t="e">
        <f t="shared" si="8"/>
        <v>#N/A</v>
      </c>
      <c r="AD44" s="2" t="e">
        <f t="shared" si="9"/>
        <v>#N/A</v>
      </c>
    </row>
    <row r="45" spans="6:30" x14ac:dyDescent="0.3">
      <c r="F45"/>
      <c r="N45" s="2" t="str">
        <f t="shared" si="6"/>
        <v/>
      </c>
      <c r="AB45" s="1" t="e">
        <f t="shared" si="7"/>
        <v>#N/A</v>
      </c>
      <c r="AC45" t="e">
        <f t="shared" si="8"/>
        <v>#N/A</v>
      </c>
      <c r="AD45" s="2" t="e">
        <f t="shared" si="9"/>
        <v>#N/A</v>
      </c>
    </row>
    <row r="46" spans="6:30" x14ac:dyDescent="0.3">
      <c r="F46"/>
      <c r="N46" s="2" t="str">
        <f t="shared" si="6"/>
        <v/>
      </c>
      <c r="AB46" s="1" t="e">
        <f t="shared" si="7"/>
        <v>#N/A</v>
      </c>
      <c r="AC46" t="e">
        <f t="shared" si="8"/>
        <v>#N/A</v>
      </c>
      <c r="AD46" s="2" t="e">
        <f t="shared" si="9"/>
        <v>#N/A</v>
      </c>
    </row>
    <row r="47" spans="6:30" x14ac:dyDescent="0.3">
      <c r="F47"/>
      <c r="N47" s="2" t="str">
        <f t="shared" si="6"/>
        <v/>
      </c>
      <c r="AB47" s="1" t="e">
        <f t="shared" si="7"/>
        <v>#N/A</v>
      </c>
      <c r="AC47" t="e">
        <f t="shared" si="8"/>
        <v>#N/A</v>
      </c>
      <c r="AD47" s="2" t="e">
        <f t="shared" si="9"/>
        <v>#N/A</v>
      </c>
    </row>
    <row r="48" spans="6:30" x14ac:dyDescent="0.3">
      <c r="N48" s="2" t="str">
        <f t="shared" si="6"/>
        <v/>
      </c>
      <c r="AB48" s="1" t="e">
        <f t="shared" si="7"/>
        <v>#N/A</v>
      </c>
      <c r="AC48" t="e">
        <f t="shared" si="8"/>
        <v>#N/A</v>
      </c>
      <c r="AD48" s="2" t="e">
        <f t="shared" si="9"/>
        <v>#N/A</v>
      </c>
    </row>
    <row r="49" spans="13:30" x14ac:dyDescent="0.3">
      <c r="N49" s="2" t="str">
        <f t="shared" si="6"/>
        <v/>
      </c>
      <c r="AB49" s="1" t="e">
        <f t="shared" si="7"/>
        <v>#N/A</v>
      </c>
      <c r="AC49" t="e">
        <f t="shared" si="8"/>
        <v>#N/A</v>
      </c>
      <c r="AD49" s="2" t="e">
        <f t="shared" si="9"/>
        <v>#N/A</v>
      </c>
    </row>
    <row r="50" spans="13:30" x14ac:dyDescent="0.3">
      <c r="N50" s="2" t="str">
        <f t="shared" si="6"/>
        <v/>
      </c>
      <c r="AB50" s="1" t="e">
        <f t="shared" si="7"/>
        <v>#N/A</v>
      </c>
      <c r="AC50" t="e">
        <f t="shared" si="8"/>
        <v>#N/A</v>
      </c>
      <c r="AD50" s="2" t="e">
        <f t="shared" si="9"/>
        <v>#N/A</v>
      </c>
    </row>
    <row r="51" spans="13:30" x14ac:dyDescent="0.3">
      <c r="N51" s="2" t="str">
        <f t="shared" si="6"/>
        <v/>
      </c>
      <c r="AB51" s="1" t="e">
        <f t="shared" si="7"/>
        <v>#N/A</v>
      </c>
      <c r="AC51" t="e">
        <f t="shared" si="8"/>
        <v>#N/A</v>
      </c>
      <c r="AD51" s="2" t="e">
        <f t="shared" si="9"/>
        <v>#N/A</v>
      </c>
    </row>
    <row r="52" spans="13:30" x14ac:dyDescent="0.3">
      <c r="N52" s="2" t="str">
        <f t="shared" si="6"/>
        <v/>
      </c>
      <c r="AB52" s="1" t="e">
        <f t="shared" si="7"/>
        <v>#N/A</v>
      </c>
      <c r="AC52" t="e">
        <f t="shared" si="8"/>
        <v>#N/A</v>
      </c>
      <c r="AD52" s="2" t="e">
        <f t="shared" si="9"/>
        <v>#N/A</v>
      </c>
    </row>
    <row r="53" spans="13:30" x14ac:dyDescent="0.3">
      <c r="N53" s="2" t="str">
        <f t="shared" si="6"/>
        <v/>
      </c>
      <c r="AB53" s="1" t="e">
        <f t="shared" si="7"/>
        <v>#N/A</v>
      </c>
      <c r="AC53" t="e">
        <f t="shared" si="8"/>
        <v>#N/A</v>
      </c>
      <c r="AD53" s="2" t="e">
        <f t="shared" si="9"/>
        <v>#N/A</v>
      </c>
    </row>
    <row r="54" spans="13:30" x14ac:dyDescent="0.3">
      <c r="M54" t="str">
        <f t="shared" ref="M54:M85" si="10">IF(G54=2030,F54,"")</f>
        <v/>
      </c>
      <c r="N54" s="2" t="str">
        <f t="shared" si="6"/>
        <v/>
      </c>
      <c r="AB54" s="1" t="e">
        <f t="shared" si="7"/>
        <v>#N/A</v>
      </c>
      <c r="AC54" t="e">
        <f t="shared" si="8"/>
        <v>#N/A</v>
      </c>
      <c r="AD54" s="2" t="e">
        <f t="shared" si="9"/>
        <v>#N/A</v>
      </c>
    </row>
    <row r="55" spans="13:30" x14ac:dyDescent="0.3">
      <c r="M55" t="str">
        <f t="shared" si="10"/>
        <v/>
      </c>
      <c r="N55" s="2" t="str">
        <f t="shared" si="6"/>
        <v/>
      </c>
      <c r="AB55" s="1" t="e">
        <f t="shared" si="7"/>
        <v>#N/A</v>
      </c>
      <c r="AC55" t="e">
        <f t="shared" si="8"/>
        <v>#N/A</v>
      </c>
      <c r="AD55" s="2" t="e">
        <f t="shared" si="9"/>
        <v>#N/A</v>
      </c>
    </row>
    <row r="56" spans="13:30" x14ac:dyDescent="0.3">
      <c r="M56" t="str">
        <f t="shared" si="10"/>
        <v/>
      </c>
      <c r="N56" s="2" t="str">
        <f t="shared" si="6"/>
        <v/>
      </c>
      <c r="AB56" s="1" t="e">
        <f t="shared" si="7"/>
        <v>#N/A</v>
      </c>
      <c r="AC56" t="e">
        <f t="shared" si="8"/>
        <v>#N/A</v>
      </c>
      <c r="AD56" s="2" t="e">
        <f t="shared" si="9"/>
        <v>#N/A</v>
      </c>
    </row>
    <row r="57" spans="13:30" x14ac:dyDescent="0.3">
      <c r="M57" t="str">
        <f t="shared" si="10"/>
        <v/>
      </c>
      <c r="N57" s="2" t="str">
        <f t="shared" si="6"/>
        <v/>
      </c>
      <c r="AB57" s="1" t="e">
        <f t="shared" si="7"/>
        <v>#N/A</v>
      </c>
      <c r="AC57" t="e">
        <f t="shared" si="8"/>
        <v>#N/A</v>
      </c>
      <c r="AD57" s="2" t="e">
        <f t="shared" si="9"/>
        <v>#N/A</v>
      </c>
    </row>
    <row r="58" spans="13:30" x14ac:dyDescent="0.3">
      <c r="M58" t="str">
        <f t="shared" si="10"/>
        <v/>
      </c>
      <c r="N58" s="2" t="str">
        <f t="shared" si="6"/>
        <v/>
      </c>
      <c r="AB58" s="1" t="e">
        <f t="shared" si="7"/>
        <v>#N/A</v>
      </c>
      <c r="AC58" t="e">
        <f t="shared" si="8"/>
        <v>#N/A</v>
      </c>
      <c r="AD58" s="2" t="e">
        <f t="shared" si="9"/>
        <v>#N/A</v>
      </c>
    </row>
    <row r="59" spans="13:30" x14ac:dyDescent="0.3">
      <c r="M59" t="str">
        <f t="shared" si="10"/>
        <v/>
      </c>
      <c r="N59" s="2" t="str">
        <f t="shared" si="6"/>
        <v/>
      </c>
      <c r="AB59" s="1" t="e">
        <f t="shared" si="7"/>
        <v>#N/A</v>
      </c>
      <c r="AC59" t="e">
        <f t="shared" si="8"/>
        <v>#N/A</v>
      </c>
      <c r="AD59" s="2" t="e">
        <f t="shared" si="9"/>
        <v>#N/A</v>
      </c>
    </row>
    <row r="60" spans="13:30" x14ac:dyDescent="0.3">
      <c r="M60" t="str">
        <f t="shared" si="10"/>
        <v/>
      </c>
      <c r="N60" s="2" t="str">
        <f t="shared" si="6"/>
        <v/>
      </c>
      <c r="AB60" s="1" t="e">
        <f t="shared" si="7"/>
        <v>#N/A</v>
      </c>
      <c r="AC60" t="e">
        <f t="shared" si="8"/>
        <v>#N/A</v>
      </c>
      <c r="AD60" s="2" t="e">
        <f t="shared" si="9"/>
        <v>#N/A</v>
      </c>
    </row>
    <row r="61" spans="13:30" x14ac:dyDescent="0.3">
      <c r="M61" t="str">
        <f t="shared" si="10"/>
        <v/>
      </c>
      <c r="N61" s="2" t="str">
        <f t="shared" si="6"/>
        <v/>
      </c>
      <c r="AB61" s="1" t="e">
        <f t="shared" si="7"/>
        <v>#N/A</v>
      </c>
      <c r="AC61" t="e">
        <f t="shared" si="8"/>
        <v>#N/A</v>
      </c>
      <c r="AD61" s="2" t="e">
        <f t="shared" si="9"/>
        <v>#N/A</v>
      </c>
    </row>
    <row r="62" spans="13:30" x14ac:dyDescent="0.3">
      <c r="M62" t="str">
        <f t="shared" si="10"/>
        <v/>
      </c>
      <c r="N62" s="2" t="str">
        <f t="shared" si="6"/>
        <v/>
      </c>
      <c r="AB62" s="1" t="e">
        <f t="shared" si="7"/>
        <v>#N/A</v>
      </c>
      <c r="AC62" t="e">
        <f t="shared" si="8"/>
        <v>#N/A</v>
      </c>
      <c r="AD62" s="2" t="e">
        <f t="shared" si="9"/>
        <v>#N/A</v>
      </c>
    </row>
    <row r="63" spans="13:30" x14ac:dyDescent="0.3">
      <c r="M63" t="str">
        <f t="shared" si="10"/>
        <v/>
      </c>
      <c r="N63" s="2" t="str">
        <f t="shared" si="6"/>
        <v/>
      </c>
      <c r="AB63" s="1" t="e">
        <f t="shared" si="7"/>
        <v>#N/A</v>
      </c>
      <c r="AC63" t="e">
        <f t="shared" si="8"/>
        <v>#N/A</v>
      </c>
      <c r="AD63" s="2" t="e">
        <f t="shared" si="9"/>
        <v>#N/A</v>
      </c>
    </row>
    <row r="64" spans="13:30" x14ac:dyDescent="0.3">
      <c r="M64" t="str">
        <f t="shared" si="10"/>
        <v/>
      </c>
      <c r="N64" s="2" t="str">
        <f t="shared" si="6"/>
        <v/>
      </c>
      <c r="AB64" s="1" t="e">
        <f t="shared" si="7"/>
        <v>#N/A</v>
      </c>
      <c r="AC64" t="e">
        <f t="shared" si="8"/>
        <v>#N/A</v>
      </c>
      <c r="AD64" s="2" t="e">
        <f t="shared" si="9"/>
        <v>#N/A</v>
      </c>
    </row>
    <row r="65" spans="13:30" x14ac:dyDescent="0.3">
      <c r="M65" t="str">
        <f t="shared" si="10"/>
        <v/>
      </c>
      <c r="N65" s="2" t="str">
        <f t="shared" si="6"/>
        <v/>
      </c>
      <c r="AB65" s="1" t="e">
        <f t="shared" si="7"/>
        <v>#N/A</v>
      </c>
      <c r="AC65" t="e">
        <f t="shared" si="8"/>
        <v>#N/A</v>
      </c>
      <c r="AD65" s="2" t="e">
        <f t="shared" si="9"/>
        <v>#N/A</v>
      </c>
    </row>
    <row r="66" spans="13:30" x14ac:dyDescent="0.3">
      <c r="M66" t="str">
        <f t="shared" si="10"/>
        <v/>
      </c>
      <c r="N66" s="2" t="str">
        <f t="shared" si="6"/>
        <v/>
      </c>
      <c r="AB66" s="1" t="e">
        <f t="shared" ref="AB66:AB97" si="11">IF(L66="",NA(),L66)</f>
        <v>#N/A</v>
      </c>
      <c r="AC66" t="e">
        <f t="shared" ref="AC66:AC97" si="12">IF(M66="",NA(),M66)</f>
        <v>#N/A</v>
      </c>
      <c r="AD66" s="2" t="e">
        <f t="shared" ref="AD66:AD97" si="13">IF(N66="",NA(),N66)</f>
        <v>#N/A</v>
      </c>
    </row>
    <row r="67" spans="13:30" x14ac:dyDescent="0.3">
      <c r="M67" t="str">
        <f t="shared" si="10"/>
        <v/>
      </c>
      <c r="N67" s="2" t="str">
        <f t="shared" ref="N67:N99" si="14">IF(G67&gt;2039,J67,"")</f>
        <v/>
      </c>
      <c r="AB67" s="1" t="e">
        <f t="shared" si="11"/>
        <v>#N/A</v>
      </c>
      <c r="AC67" t="e">
        <f t="shared" si="12"/>
        <v>#N/A</v>
      </c>
      <c r="AD67" s="2" t="e">
        <f t="shared" si="13"/>
        <v>#N/A</v>
      </c>
    </row>
    <row r="68" spans="13:30" x14ac:dyDescent="0.3">
      <c r="M68" t="str">
        <f t="shared" si="10"/>
        <v/>
      </c>
      <c r="N68" s="2" t="str">
        <f t="shared" si="14"/>
        <v/>
      </c>
      <c r="AB68" s="1" t="e">
        <f t="shared" si="11"/>
        <v>#N/A</v>
      </c>
      <c r="AC68" t="e">
        <f t="shared" si="12"/>
        <v>#N/A</v>
      </c>
      <c r="AD68" s="2" t="e">
        <f t="shared" si="13"/>
        <v>#N/A</v>
      </c>
    </row>
    <row r="69" spans="13:30" x14ac:dyDescent="0.3">
      <c r="M69" t="str">
        <f t="shared" si="10"/>
        <v/>
      </c>
      <c r="N69" s="2" t="str">
        <f t="shared" si="14"/>
        <v/>
      </c>
      <c r="AB69" s="1" t="e">
        <f t="shared" si="11"/>
        <v>#N/A</v>
      </c>
      <c r="AC69" t="e">
        <f t="shared" si="12"/>
        <v>#N/A</v>
      </c>
      <c r="AD69" s="2" t="e">
        <f t="shared" si="13"/>
        <v>#N/A</v>
      </c>
    </row>
    <row r="70" spans="13:30" x14ac:dyDescent="0.3">
      <c r="M70" t="str">
        <f t="shared" si="10"/>
        <v/>
      </c>
      <c r="N70" s="2" t="str">
        <f t="shared" si="14"/>
        <v/>
      </c>
      <c r="AB70" s="1" t="e">
        <f t="shared" si="11"/>
        <v>#N/A</v>
      </c>
      <c r="AC70" t="e">
        <f t="shared" si="12"/>
        <v>#N/A</v>
      </c>
      <c r="AD70" s="2" t="e">
        <f t="shared" si="13"/>
        <v>#N/A</v>
      </c>
    </row>
    <row r="71" spans="13:30" x14ac:dyDescent="0.3">
      <c r="M71" t="str">
        <f t="shared" si="10"/>
        <v/>
      </c>
      <c r="N71" s="2" t="str">
        <f t="shared" si="14"/>
        <v/>
      </c>
      <c r="AB71" s="1" t="e">
        <f t="shared" si="11"/>
        <v>#N/A</v>
      </c>
      <c r="AC71" t="e">
        <f t="shared" si="12"/>
        <v>#N/A</v>
      </c>
      <c r="AD71" s="2" t="e">
        <f t="shared" si="13"/>
        <v>#N/A</v>
      </c>
    </row>
    <row r="72" spans="13:30" x14ac:dyDescent="0.3">
      <c r="M72" t="str">
        <f t="shared" si="10"/>
        <v/>
      </c>
      <c r="N72" s="2" t="str">
        <f t="shared" si="14"/>
        <v/>
      </c>
      <c r="AB72" s="1" t="e">
        <f t="shared" si="11"/>
        <v>#N/A</v>
      </c>
      <c r="AC72" t="e">
        <f t="shared" si="12"/>
        <v>#N/A</v>
      </c>
      <c r="AD72" s="2" t="e">
        <f t="shared" si="13"/>
        <v>#N/A</v>
      </c>
    </row>
    <row r="73" spans="13:30" x14ac:dyDescent="0.3">
      <c r="M73" t="str">
        <f t="shared" si="10"/>
        <v/>
      </c>
      <c r="N73" s="2" t="str">
        <f t="shared" si="14"/>
        <v/>
      </c>
      <c r="AB73" s="1" t="e">
        <f t="shared" si="11"/>
        <v>#N/A</v>
      </c>
      <c r="AC73" t="e">
        <f t="shared" si="12"/>
        <v>#N/A</v>
      </c>
      <c r="AD73" s="2" t="e">
        <f t="shared" si="13"/>
        <v>#N/A</v>
      </c>
    </row>
    <row r="74" spans="13:30" x14ac:dyDescent="0.3">
      <c r="M74" t="str">
        <f t="shared" si="10"/>
        <v/>
      </c>
      <c r="N74" s="2" t="str">
        <f t="shared" si="14"/>
        <v/>
      </c>
      <c r="AB74" s="1" t="e">
        <f t="shared" si="11"/>
        <v>#N/A</v>
      </c>
      <c r="AC74" t="e">
        <f t="shared" si="12"/>
        <v>#N/A</v>
      </c>
      <c r="AD74" s="2" t="e">
        <f t="shared" si="13"/>
        <v>#N/A</v>
      </c>
    </row>
    <row r="75" spans="13:30" x14ac:dyDescent="0.3">
      <c r="M75" t="str">
        <f t="shared" si="10"/>
        <v/>
      </c>
      <c r="N75" s="2" t="str">
        <f t="shared" si="14"/>
        <v/>
      </c>
      <c r="AB75" s="1" t="e">
        <f t="shared" si="11"/>
        <v>#N/A</v>
      </c>
      <c r="AC75" t="e">
        <f t="shared" si="12"/>
        <v>#N/A</v>
      </c>
      <c r="AD75" s="2" t="e">
        <f t="shared" si="13"/>
        <v>#N/A</v>
      </c>
    </row>
    <row r="76" spans="13:30" x14ac:dyDescent="0.3">
      <c r="M76" t="str">
        <f t="shared" si="10"/>
        <v/>
      </c>
      <c r="N76" s="2" t="str">
        <f t="shared" si="14"/>
        <v/>
      </c>
      <c r="AB76" s="1" t="e">
        <f t="shared" si="11"/>
        <v>#N/A</v>
      </c>
      <c r="AC76" t="e">
        <f t="shared" si="12"/>
        <v>#N/A</v>
      </c>
      <c r="AD76" s="2" t="e">
        <f t="shared" si="13"/>
        <v>#N/A</v>
      </c>
    </row>
    <row r="77" spans="13:30" x14ac:dyDescent="0.3">
      <c r="M77" t="str">
        <f t="shared" si="10"/>
        <v/>
      </c>
      <c r="N77" s="2" t="str">
        <f t="shared" si="14"/>
        <v/>
      </c>
      <c r="AB77" s="1" t="e">
        <f t="shared" si="11"/>
        <v>#N/A</v>
      </c>
      <c r="AC77" t="e">
        <f t="shared" si="12"/>
        <v>#N/A</v>
      </c>
      <c r="AD77" s="2" t="e">
        <f t="shared" si="13"/>
        <v>#N/A</v>
      </c>
    </row>
    <row r="78" spans="13:30" x14ac:dyDescent="0.3">
      <c r="M78" t="str">
        <f t="shared" si="10"/>
        <v/>
      </c>
      <c r="N78" s="2" t="str">
        <f t="shared" si="14"/>
        <v/>
      </c>
      <c r="AB78" s="1" t="e">
        <f t="shared" si="11"/>
        <v>#N/A</v>
      </c>
      <c r="AC78" t="e">
        <f t="shared" si="12"/>
        <v>#N/A</v>
      </c>
      <c r="AD78" s="2" t="e">
        <f t="shared" si="13"/>
        <v>#N/A</v>
      </c>
    </row>
    <row r="79" spans="13:30" x14ac:dyDescent="0.3">
      <c r="M79" t="str">
        <f t="shared" si="10"/>
        <v/>
      </c>
      <c r="N79" s="2" t="str">
        <f t="shared" si="14"/>
        <v/>
      </c>
      <c r="AB79" s="1" t="e">
        <f t="shared" si="11"/>
        <v>#N/A</v>
      </c>
      <c r="AC79" t="e">
        <f t="shared" si="12"/>
        <v>#N/A</v>
      </c>
      <c r="AD79" s="2" t="e">
        <f t="shared" si="13"/>
        <v>#N/A</v>
      </c>
    </row>
    <row r="80" spans="13:30" x14ac:dyDescent="0.3">
      <c r="M80" t="str">
        <f t="shared" si="10"/>
        <v/>
      </c>
      <c r="N80" s="2" t="str">
        <f t="shared" si="14"/>
        <v/>
      </c>
      <c r="AB80" s="1" t="e">
        <f t="shared" si="11"/>
        <v>#N/A</v>
      </c>
      <c r="AC80" t="e">
        <f t="shared" si="12"/>
        <v>#N/A</v>
      </c>
      <c r="AD80" s="2" t="e">
        <f t="shared" si="13"/>
        <v>#N/A</v>
      </c>
    </row>
    <row r="81" spans="13:30" x14ac:dyDescent="0.3">
      <c r="M81" t="str">
        <f t="shared" si="10"/>
        <v/>
      </c>
      <c r="N81" s="2" t="str">
        <f t="shared" si="14"/>
        <v/>
      </c>
      <c r="AB81" s="1" t="e">
        <f t="shared" si="11"/>
        <v>#N/A</v>
      </c>
      <c r="AC81" t="e">
        <f t="shared" si="12"/>
        <v>#N/A</v>
      </c>
      <c r="AD81" s="2" t="e">
        <f t="shared" si="13"/>
        <v>#N/A</v>
      </c>
    </row>
    <row r="82" spans="13:30" x14ac:dyDescent="0.3">
      <c r="M82" t="str">
        <f t="shared" si="10"/>
        <v/>
      </c>
      <c r="N82" s="2" t="str">
        <f t="shared" si="14"/>
        <v/>
      </c>
      <c r="AB82" s="1" t="e">
        <f t="shared" si="11"/>
        <v>#N/A</v>
      </c>
      <c r="AC82" t="e">
        <f t="shared" si="12"/>
        <v>#N/A</v>
      </c>
      <c r="AD82" s="2" t="e">
        <f t="shared" si="13"/>
        <v>#N/A</v>
      </c>
    </row>
    <row r="83" spans="13:30" x14ac:dyDescent="0.3">
      <c r="M83" t="str">
        <f t="shared" si="10"/>
        <v/>
      </c>
      <c r="N83" s="2" t="str">
        <f t="shared" si="14"/>
        <v/>
      </c>
      <c r="AB83" s="1" t="e">
        <f t="shared" si="11"/>
        <v>#N/A</v>
      </c>
      <c r="AC83" t="e">
        <f t="shared" si="12"/>
        <v>#N/A</v>
      </c>
      <c r="AD83" s="2" t="e">
        <f t="shared" si="13"/>
        <v>#N/A</v>
      </c>
    </row>
    <row r="84" spans="13:30" x14ac:dyDescent="0.3">
      <c r="M84" t="str">
        <f t="shared" si="10"/>
        <v/>
      </c>
      <c r="N84" s="2" t="str">
        <f t="shared" si="14"/>
        <v/>
      </c>
      <c r="AB84" s="1" t="e">
        <f t="shared" si="11"/>
        <v>#N/A</v>
      </c>
      <c r="AC84" t="e">
        <f t="shared" si="12"/>
        <v>#N/A</v>
      </c>
      <c r="AD84" s="2" t="e">
        <f t="shared" si="13"/>
        <v>#N/A</v>
      </c>
    </row>
    <row r="85" spans="13:30" x14ac:dyDescent="0.3">
      <c r="M85" t="str">
        <f t="shared" si="10"/>
        <v/>
      </c>
      <c r="N85" s="2" t="str">
        <f t="shared" si="14"/>
        <v/>
      </c>
      <c r="AB85" s="1" t="e">
        <f t="shared" si="11"/>
        <v>#N/A</v>
      </c>
      <c r="AC85" t="e">
        <f t="shared" si="12"/>
        <v>#N/A</v>
      </c>
      <c r="AD85" s="2" t="e">
        <f t="shared" si="13"/>
        <v>#N/A</v>
      </c>
    </row>
    <row r="86" spans="13:30" x14ac:dyDescent="0.3">
      <c r="M86" t="str">
        <f t="shared" ref="M86:M117" si="15">IF(G86=2030,F86,"")</f>
        <v/>
      </c>
      <c r="N86" s="2" t="str">
        <f t="shared" si="14"/>
        <v/>
      </c>
      <c r="AB86" s="1" t="e">
        <f t="shared" si="11"/>
        <v>#N/A</v>
      </c>
      <c r="AC86" t="e">
        <f t="shared" si="12"/>
        <v>#N/A</v>
      </c>
      <c r="AD86" s="2" t="e">
        <f t="shared" si="13"/>
        <v>#N/A</v>
      </c>
    </row>
    <row r="87" spans="13:30" x14ac:dyDescent="0.3">
      <c r="M87" t="str">
        <f t="shared" si="15"/>
        <v/>
      </c>
      <c r="N87" s="2" t="str">
        <f t="shared" si="14"/>
        <v/>
      </c>
      <c r="AB87" s="1" t="e">
        <f t="shared" si="11"/>
        <v>#N/A</v>
      </c>
      <c r="AC87" t="e">
        <f t="shared" si="12"/>
        <v>#N/A</v>
      </c>
      <c r="AD87" s="2" t="e">
        <f t="shared" si="13"/>
        <v>#N/A</v>
      </c>
    </row>
    <row r="88" spans="13:30" x14ac:dyDescent="0.3">
      <c r="M88" t="str">
        <f t="shared" si="15"/>
        <v/>
      </c>
      <c r="N88" s="2" t="str">
        <f t="shared" si="14"/>
        <v/>
      </c>
      <c r="AB88" s="1" t="e">
        <f t="shared" si="11"/>
        <v>#N/A</v>
      </c>
      <c r="AC88" t="e">
        <f t="shared" si="12"/>
        <v>#N/A</v>
      </c>
      <c r="AD88" s="2" t="e">
        <f t="shared" si="13"/>
        <v>#N/A</v>
      </c>
    </row>
    <row r="89" spans="13:30" x14ac:dyDescent="0.3">
      <c r="M89" t="str">
        <f t="shared" si="15"/>
        <v/>
      </c>
      <c r="N89" s="2" t="str">
        <f t="shared" si="14"/>
        <v/>
      </c>
      <c r="AB89" s="1" t="e">
        <f t="shared" si="11"/>
        <v>#N/A</v>
      </c>
      <c r="AC89" t="e">
        <f t="shared" si="12"/>
        <v>#N/A</v>
      </c>
      <c r="AD89" s="2" t="e">
        <f t="shared" si="13"/>
        <v>#N/A</v>
      </c>
    </row>
    <row r="90" spans="13:30" x14ac:dyDescent="0.3">
      <c r="M90" t="str">
        <f t="shared" si="15"/>
        <v/>
      </c>
      <c r="N90" s="2" t="str">
        <f t="shared" si="14"/>
        <v/>
      </c>
      <c r="AB90" s="1" t="e">
        <f t="shared" si="11"/>
        <v>#N/A</v>
      </c>
      <c r="AC90" t="e">
        <f t="shared" si="12"/>
        <v>#N/A</v>
      </c>
      <c r="AD90" s="2" t="e">
        <f t="shared" si="13"/>
        <v>#N/A</v>
      </c>
    </row>
    <row r="91" spans="13:30" x14ac:dyDescent="0.3">
      <c r="M91" t="str">
        <f t="shared" si="15"/>
        <v/>
      </c>
      <c r="N91" s="2" t="str">
        <f t="shared" si="14"/>
        <v/>
      </c>
      <c r="AB91" s="1" t="e">
        <f t="shared" si="11"/>
        <v>#N/A</v>
      </c>
      <c r="AC91" t="e">
        <f t="shared" si="12"/>
        <v>#N/A</v>
      </c>
      <c r="AD91" s="2" t="e">
        <f t="shared" si="13"/>
        <v>#N/A</v>
      </c>
    </row>
    <row r="92" spans="13:30" x14ac:dyDescent="0.3">
      <c r="M92" t="str">
        <f t="shared" si="15"/>
        <v/>
      </c>
      <c r="N92" s="2" t="str">
        <f t="shared" si="14"/>
        <v/>
      </c>
      <c r="AB92" s="1" t="e">
        <f t="shared" si="11"/>
        <v>#N/A</v>
      </c>
      <c r="AC92" t="e">
        <f t="shared" si="12"/>
        <v>#N/A</v>
      </c>
      <c r="AD92" s="2" t="e">
        <f t="shared" si="13"/>
        <v>#N/A</v>
      </c>
    </row>
    <row r="93" spans="13:30" x14ac:dyDescent="0.3">
      <c r="M93" t="str">
        <f t="shared" si="15"/>
        <v/>
      </c>
      <c r="N93" s="2" t="str">
        <f t="shared" si="14"/>
        <v/>
      </c>
      <c r="AB93" s="1" t="e">
        <f t="shared" si="11"/>
        <v>#N/A</v>
      </c>
      <c r="AC93" t="e">
        <f t="shared" si="12"/>
        <v>#N/A</v>
      </c>
      <c r="AD93" s="2" t="e">
        <f t="shared" si="13"/>
        <v>#N/A</v>
      </c>
    </row>
    <row r="94" spans="13:30" x14ac:dyDescent="0.3">
      <c r="M94" t="str">
        <f t="shared" si="15"/>
        <v/>
      </c>
      <c r="N94" s="2" t="str">
        <f t="shared" si="14"/>
        <v/>
      </c>
      <c r="AB94" s="1" t="e">
        <f t="shared" si="11"/>
        <v>#N/A</v>
      </c>
      <c r="AC94" t="e">
        <f t="shared" si="12"/>
        <v>#N/A</v>
      </c>
      <c r="AD94" s="2" t="e">
        <f t="shared" si="13"/>
        <v>#N/A</v>
      </c>
    </row>
    <row r="95" spans="13:30" x14ac:dyDescent="0.3">
      <c r="M95" t="str">
        <f t="shared" si="15"/>
        <v/>
      </c>
      <c r="N95" s="2" t="str">
        <f t="shared" si="14"/>
        <v/>
      </c>
      <c r="AB95" s="1" t="e">
        <f t="shared" si="11"/>
        <v>#N/A</v>
      </c>
      <c r="AC95" t="e">
        <f t="shared" si="12"/>
        <v>#N/A</v>
      </c>
      <c r="AD95" s="2" t="e">
        <f t="shared" si="13"/>
        <v>#N/A</v>
      </c>
    </row>
    <row r="96" spans="13:30" x14ac:dyDescent="0.3">
      <c r="M96" t="str">
        <f t="shared" si="15"/>
        <v/>
      </c>
      <c r="N96" s="2" t="str">
        <f t="shared" si="14"/>
        <v/>
      </c>
      <c r="AB96" s="1" t="e">
        <f t="shared" si="11"/>
        <v>#N/A</v>
      </c>
      <c r="AC96" t="e">
        <f t="shared" si="12"/>
        <v>#N/A</v>
      </c>
      <c r="AD96" s="2" t="e">
        <f t="shared" si="13"/>
        <v>#N/A</v>
      </c>
    </row>
    <row r="97" spans="13:30" x14ac:dyDescent="0.3">
      <c r="M97" t="str">
        <f t="shared" si="15"/>
        <v/>
      </c>
      <c r="N97" s="2" t="str">
        <f t="shared" si="14"/>
        <v/>
      </c>
      <c r="AB97" s="1" t="e">
        <f t="shared" si="11"/>
        <v>#N/A</v>
      </c>
      <c r="AC97" t="e">
        <f t="shared" si="12"/>
        <v>#N/A</v>
      </c>
      <c r="AD97" s="2" t="e">
        <f t="shared" si="13"/>
        <v>#N/A</v>
      </c>
    </row>
    <row r="98" spans="13:30" x14ac:dyDescent="0.3">
      <c r="M98" t="str">
        <f t="shared" si="15"/>
        <v/>
      </c>
      <c r="N98" s="2" t="str">
        <f t="shared" si="14"/>
        <v/>
      </c>
      <c r="AB98" s="1" t="e">
        <f t="shared" ref="AB98:AB120" si="16">IF(L98="",NA(),L98)</f>
        <v>#N/A</v>
      </c>
      <c r="AC98" t="e">
        <f t="shared" ref="AC98:AC120" si="17">IF(M98="",NA(),M98)</f>
        <v>#N/A</v>
      </c>
      <c r="AD98" s="2" t="e">
        <f t="shared" ref="AD98:AD120" si="18">IF(N98="",NA(),N98)</f>
        <v>#N/A</v>
      </c>
    </row>
    <row r="99" spans="13:30" x14ac:dyDescent="0.3">
      <c r="M99" t="str">
        <f t="shared" si="15"/>
        <v/>
      </c>
      <c r="N99" s="2" t="str">
        <f t="shared" si="14"/>
        <v/>
      </c>
      <c r="AB99" s="1" t="e">
        <f t="shared" si="16"/>
        <v>#N/A</v>
      </c>
      <c r="AC99" t="e">
        <f t="shared" si="17"/>
        <v>#N/A</v>
      </c>
      <c r="AD99" s="2" t="e">
        <f t="shared" si="18"/>
        <v>#N/A</v>
      </c>
    </row>
    <row r="100" spans="13:30" x14ac:dyDescent="0.3">
      <c r="M100" t="str">
        <f t="shared" si="15"/>
        <v/>
      </c>
      <c r="AB100" s="1" t="e">
        <f t="shared" si="16"/>
        <v>#N/A</v>
      </c>
      <c r="AC100" t="e">
        <f t="shared" si="17"/>
        <v>#N/A</v>
      </c>
      <c r="AD100" s="2" t="e">
        <f t="shared" si="18"/>
        <v>#N/A</v>
      </c>
    </row>
    <row r="101" spans="13:30" x14ac:dyDescent="0.3">
      <c r="M101" t="str">
        <f t="shared" si="15"/>
        <v/>
      </c>
      <c r="AB101" s="1" t="e">
        <f t="shared" si="16"/>
        <v>#N/A</v>
      </c>
      <c r="AC101" t="e">
        <f t="shared" si="17"/>
        <v>#N/A</v>
      </c>
      <c r="AD101" s="2" t="e">
        <f t="shared" si="18"/>
        <v>#N/A</v>
      </c>
    </row>
    <row r="102" spans="13:30" x14ac:dyDescent="0.3">
      <c r="M102" t="str">
        <f t="shared" si="15"/>
        <v/>
      </c>
      <c r="AB102" s="1" t="e">
        <f t="shared" si="16"/>
        <v>#N/A</v>
      </c>
      <c r="AC102" t="e">
        <f t="shared" si="17"/>
        <v>#N/A</v>
      </c>
      <c r="AD102" s="2" t="e">
        <f t="shared" si="18"/>
        <v>#N/A</v>
      </c>
    </row>
    <row r="103" spans="13:30" x14ac:dyDescent="0.3">
      <c r="M103" t="str">
        <f t="shared" si="15"/>
        <v/>
      </c>
      <c r="AB103" s="1" t="e">
        <f t="shared" si="16"/>
        <v>#N/A</v>
      </c>
      <c r="AC103" t="e">
        <f t="shared" si="17"/>
        <v>#N/A</v>
      </c>
      <c r="AD103" s="2" t="e">
        <f t="shared" si="18"/>
        <v>#N/A</v>
      </c>
    </row>
    <row r="104" spans="13:30" x14ac:dyDescent="0.3">
      <c r="M104" t="str">
        <f t="shared" si="15"/>
        <v/>
      </c>
      <c r="AB104" s="1" t="e">
        <f t="shared" si="16"/>
        <v>#N/A</v>
      </c>
      <c r="AC104" t="e">
        <f t="shared" si="17"/>
        <v>#N/A</v>
      </c>
      <c r="AD104" s="2" t="e">
        <f t="shared" si="18"/>
        <v>#N/A</v>
      </c>
    </row>
    <row r="105" spans="13:30" x14ac:dyDescent="0.3">
      <c r="M105" t="str">
        <f t="shared" si="15"/>
        <v/>
      </c>
      <c r="AB105" s="1" t="e">
        <f t="shared" si="16"/>
        <v>#N/A</v>
      </c>
      <c r="AC105" t="e">
        <f t="shared" si="17"/>
        <v>#N/A</v>
      </c>
      <c r="AD105" s="2" t="e">
        <f t="shared" si="18"/>
        <v>#N/A</v>
      </c>
    </row>
    <row r="106" spans="13:30" x14ac:dyDescent="0.3">
      <c r="M106" t="str">
        <f t="shared" si="15"/>
        <v/>
      </c>
      <c r="AB106" s="1" t="e">
        <f t="shared" si="16"/>
        <v>#N/A</v>
      </c>
      <c r="AC106" t="e">
        <f t="shared" si="17"/>
        <v>#N/A</v>
      </c>
      <c r="AD106" s="2" t="e">
        <f t="shared" si="18"/>
        <v>#N/A</v>
      </c>
    </row>
    <row r="107" spans="13:30" x14ac:dyDescent="0.3">
      <c r="M107" t="str">
        <f t="shared" si="15"/>
        <v/>
      </c>
      <c r="AB107" s="1" t="e">
        <f t="shared" si="16"/>
        <v>#N/A</v>
      </c>
      <c r="AC107" t="e">
        <f t="shared" si="17"/>
        <v>#N/A</v>
      </c>
      <c r="AD107" s="2" t="e">
        <f t="shared" si="18"/>
        <v>#N/A</v>
      </c>
    </row>
    <row r="108" spans="13:30" x14ac:dyDescent="0.3">
      <c r="M108" t="str">
        <f t="shared" si="15"/>
        <v/>
      </c>
      <c r="AB108" s="1" t="e">
        <f t="shared" si="16"/>
        <v>#N/A</v>
      </c>
      <c r="AC108" t="e">
        <f t="shared" si="17"/>
        <v>#N/A</v>
      </c>
      <c r="AD108" s="2" t="e">
        <f t="shared" si="18"/>
        <v>#N/A</v>
      </c>
    </row>
    <row r="109" spans="13:30" x14ac:dyDescent="0.3">
      <c r="M109" t="str">
        <f t="shared" si="15"/>
        <v/>
      </c>
      <c r="AB109" s="1" t="e">
        <f t="shared" si="16"/>
        <v>#N/A</v>
      </c>
      <c r="AC109" t="e">
        <f t="shared" si="17"/>
        <v>#N/A</v>
      </c>
      <c r="AD109" s="2" t="e">
        <f t="shared" si="18"/>
        <v>#N/A</v>
      </c>
    </row>
    <row r="110" spans="13:30" x14ac:dyDescent="0.3">
      <c r="M110" t="str">
        <f t="shared" si="15"/>
        <v/>
      </c>
      <c r="AB110" s="1" t="e">
        <f t="shared" si="16"/>
        <v>#N/A</v>
      </c>
      <c r="AC110" t="e">
        <f t="shared" si="17"/>
        <v>#N/A</v>
      </c>
      <c r="AD110" s="2" t="e">
        <f t="shared" si="18"/>
        <v>#N/A</v>
      </c>
    </row>
    <row r="111" spans="13:30" x14ac:dyDescent="0.3">
      <c r="M111" t="str">
        <f t="shared" si="15"/>
        <v/>
      </c>
      <c r="AB111" s="1" t="e">
        <f t="shared" si="16"/>
        <v>#N/A</v>
      </c>
      <c r="AC111" t="e">
        <f t="shared" si="17"/>
        <v>#N/A</v>
      </c>
      <c r="AD111" s="2" t="e">
        <f t="shared" si="18"/>
        <v>#N/A</v>
      </c>
    </row>
    <row r="112" spans="13:30" x14ac:dyDescent="0.3">
      <c r="M112" t="str">
        <f t="shared" si="15"/>
        <v/>
      </c>
      <c r="AB112" s="1" t="e">
        <f t="shared" si="16"/>
        <v>#N/A</v>
      </c>
      <c r="AC112" t="e">
        <f t="shared" si="17"/>
        <v>#N/A</v>
      </c>
      <c r="AD112" s="2" t="e">
        <f t="shared" si="18"/>
        <v>#N/A</v>
      </c>
    </row>
    <row r="113" spans="13:30" x14ac:dyDescent="0.3">
      <c r="M113" t="str">
        <f t="shared" si="15"/>
        <v/>
      </c>
      <c r="AB113" s="1" t="e">
        <f t="shared" si="16"/>
        <v>#N/A</v>
      </c>
      <c r="AC113" t="e">
        <f t="shared" si="17"/>
        <v>#N/A</v>
      </c>
      <c r="AD113" s="2" t="e">
        <f t="shared" si="18"/>
        <v>#N/A</v>
      </c>
    </row>
    <row r="114" spans="13:30" x14ac:dyDescent="0.3">
      <c r="M114" t="str">
        <f t="shared" si="15"/>
        <v/>
      </c>
      <c r="AB114" s="1" t="e">
        <f t="shared" si="16"/>
        <v>#N/A</v>
      </c>
      <c r="AC114" t="e">
        <f t="shared" si="17"/>
        <v>#N/A</v>
      </c>
      <c r="AD114" s="2" t="e">
        <f t="shared" si="18"/>
        <v>#N/A</v>
      </c>
    </row>
    <row r="115" spans="13:30" x14ac:dyDescent="0.3">
      <c r="M115" t="str">
        <f t="shared" si="15"/>
        <v/>
      </c>
      <c r="AB115" s="1" t="e">
        <f t="shared" si="16"/>
        <v>#N/A</v>
      </c>
      <c r="AC115" t="e">
        <f t="shared" si="17"/>
        <v>#N/A</v>
      </c>
      <c r="AD115" s="2" t="e">
        <f t="shared" si="18"/>
        <v>#N/A</v>
      </c>
    </row>
    <row r="116" spans="13:30" x14ac:dyDescent="0.3">
      <c r="M116" t="str">
        <f t="shared" si="15"/>
        <v/>
      </c>
      <c r="AB116" s="1" t="e">
        <f t="shared" si="16"/>
        <v>#N/A</v>
      </c>
      <c r="AC116" t="e">
        <f t="shared" si="17"/>
        <v>#N/A</v>
      </c>
      <c r="AD116" s="2" t="e">
        <f t="shared" si="18"/>
        <v>#N/A</v>
      </c>
    </row>
    <row r="117" spans="13:30" x14ac:dyDescent="0.3">
      <c r="M117" t="str">
        <f t="shared" si="15"/>
        <v/>
      </c>
      <c r="AB117" s="1" t="e">
        <f t="shared" si="16"/>
        <v>#N/A</v>
      </c>
      <c r="AC117" t="e">
        <f t="shared" si="17"/>
        <v>#N/A</v>
      </c>
      <c r="AD117" s="2" t="e">
        <f t="shared" si="18"/>
        <v>#N/A</v>
      </c>
    </row>
    <row r="118" spans="13:30" x14ac:dyDescent="0.3">
      <c r="M118" t="str">
        <f t="shared" ref="M118:M134" si="19">IF(G118=2030,F118,"")</f>
        <v/>
      </c>
      <c r="AB118" s="1" t="e">
        <f t="shared" si="16"/>
        <v>#N/A</v>
      </c>
      <c r="AC118" t="e">
        <f t="shared" si="17"/>
        <v>#N/A</v>
      </c>
      <c r="AD118" s="2" t="e">
        <f t="shared" si="18"/>
        <v>#N/A</v>
      </c>
    </row>
    <row r="119" spans="13:30" x14ac:dyDescent="0.3">
      <c r="M119" t="str">
        <f t="shared" si="19"/>
        <v/>
      </c>
      <c r="AB119" s="1" t="e">
        <f t="shared" si="16"/>
        <v>#N/A</v>
      </c>
      <c r="AC119" t="e">
        <f t="shared" si="17"/>
        <v>#N/A</v>
      </c>
      <c r="AD119" s="2" t="e">
        <f t="shared" si="18"/>
        <v>#N/A</v>
      </c>
    </row>
    <row r="120" spans="13:30" x14ac:dyDescent="0.3">
      <c r="M120" t="str">
        <f t="shared" si="19"/>
        <v/>
      </c>
      <c r="AB120" s="1" t="e">
        <f t="shared" si="16"/>
        <v>#N/A</v>
      </c>
      <c r="AC120" t="e">
        <f t="shared" si="17"/>
        <v>#N/A</v>
      </c>
      <c r="AD120" s="2" t="e">
        <f t="shared" si="18"/>
        <v>#N/A</v>
      </c>
    </row>
    <row r="121" spans="13:30" x14ac:dyDescent="0.3">
      <c r="M121" t="str">
        <f t="shared" si="19"/>
        <v/>
      </c>
      <c r="AC121" t="str">
        <f t="shared" ref="AC121:AC134" si="20">IF(V121=2030,S121,"")</f>
        <v/>
      </c>
    </row>
    <row r="122" spans="13:30" x14ac:dyDescent="0.3">
      <c r="M122" t="str">
        <f t="shared" si="19"/>
        <v/>
      </c>
      <c r="AC122" t="str">
        <f t="shared" si="20"/>
        <v/>
      </c>
    </row>
    <row r="123" spans="13:30" x14ac:dyDescent="0.3">
      <c r="M123" t="str">
        <f t="shared" si="19"/>
        <v/>
      </c>
      <c r="AC123" t="str">
        <f t="shared" si="20"/>
        <v/>
      </c>
    </row>
    <row r="124" spans="13:30" x14ac:dyDescent="0.3">
      <c r="M124" t="str">
        <f t="shared" si="19"/>
        <v/>
      </c>
      <c r="AC124" t="str">
        <f t="shared" si="20"/>
        <v/>
      </c>
    </row>
    <row r="125" spans="13:30" x14ac:dyDescent="0.3">
      <c r="M125" t="str">
        <f t="shared" si="19"/>
        <v/>
      </c>
      <c r="AC125" t="str">
        <f t="shared" si="20"/>
        <v/>
      </c>
    </row>
    <row r="126" spans="13:30" x14ac:dyDescent="0.3">
      <c r="M126" t="str">
        <f t="shared" si="19"/>
        <v/>
      </c>
      <c r="AC126" t="str">
        <f t="shared" si="20"/>
        <v/>
      </c>
    </row>
    <row r="127" spans="13:30" x14ac:dyDescent="0.3">
      <c r="M127" t="str">
        <f t="shared" si="19"/>
        <v/>
      </c>
      <c r="AC127" t="str">
        <f t="shared" si="20"/>
        <v/>
      </c>
    </row>
    <row r="128" spans="13:30" x14ac:dyDescent="0.3">
      <c r="M128" t="str">
        <f t="shared" si="19"/>
        <v/>
      </c>
      <c r="AC128" t="str">
        <f t="shared" si="20"/>
        <v/>
      </c>
    </row>
    <row r="129" spans="13:29" x14ac:dyDescent="0.3">
      <c r="M129" t="str">
        <f t="shared" si="19"/>
        <v/>
      </c>
      <c r="AC129" t="str">
        <f t="shared" si="20"/>
        <v/>
      </c>
    </row>
    <row r="130" spans="13:29" x14ac:dyDescent="0.3">
      <c r="M130" t="str">
        <f t="shared" si="19"/>
        <v/>
      </c>
      <c r="AC130" t="str">
        <f t="shared" si="20"/>
        <v/>
      </c>
    </row>
    <row r="131" spans="13:29" x14ac:dyDescent="0.3">
      <c r="M131" t="str">
        <f t="shared" si="19"/>
        <v/>
      </c>
      <c r="AC131" t="str">
        <f t="shared" si="20"/>
        <v/>
      </c>
    </row>
    <row r="132" spans="13:29" x14ac:dyDescent="0.3">
      <c r="M132" t="str">
        <f t="shared" si="19"/>
        <v/>
      </c>
      <c r="AC132" t="str">
        <f t="shared" si="20"/>
        <v/>
      </c>
    </row>
    <row r="133" spans="13:29" x14ac:dyDescent="0.3">
      <c r="M133" t="str">
        <f t="shared" si="19"/>
        <v/>
      </c>
      <c r="AC133" t="str">
        <f t="shared" si="20"/>
        <v/>
      </c>
    </row>
    <row r="134" spans="13:29" x14ac:dyDescent="0.3">
      <c r="M134" t="str">
        <f t="shared" si="19"/>
        <v/>
      </c>
      <c r="AC134" t="str">
        <f t="shared" si="20"/>
        <v/>
      </c>
    </row>
  </sheetData>
  <conditionalFormatting sqref="G1 G24:G1048576">
    <cfRule type="cellIs" dxfId="11" priority="6" operator="between">
      <formula>2039</formula>
      <formula>2050</formula>
    </cfRule>
  </conditionalFormatting>
  <conditionalFormatting sqref="G1:G1048576">
    <cfRule type="cellIs" dxfId="10" priority="1" operator="between">
      <formula>2010</formula>
      <formula>2029</formula>
    </cfRule>
    <cfRule type="cellIs" dxfId="9" priority="2" operator="equal">
      <formula>2030</formula>
    </cfRule>
  </conditionalFormatting>
  <conditionalFormatting sqref="G2:G23">
    <cfRule type="cellIs" dxfId="8" priority="3" operator="equal">
      <formula>2050</formula>
    </cfRule>
  </conditionalFormatting>
  <conditionalFormatting sqref="I1:I1048576">
    <cfRule type="cellIs" dxfId="7" priority="7" operator="equal">
      <formula>"no"</formula>
    </cfRule>
    <cfRule type="cellIs" dxfId="6" priority="8" operator="equal">
      <formula>"yes"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D9B5E-3925-4E8B-9DD2-0E675A0E22A7}">
  <dimension ref="A1:AD134"/>
  <sheetViews>
    <sheetView zoomScaleNormal="100" workbookViewId="0">
      <selection activeCell="B21" sqref="B21"/>
    </sheetView>
  </sheetViews>
  <sheetFormatPr defaultColWidth="8.88671875" defaultRowHeight="14.4" x14ac:dyDescent="0.3"/>
  <cols>
    <col min="1" max="1" width="12.109375" customWidth="1"/>
    <col min="2" max="2" width="6.44140625" customWidth="1"/>
    <col min="3" max="3" width="23.6640625" customWidth="1"/>
    <col min="6" max="6" width="13.109375" style="3" customWidth="1"/>
    <col min="7" max="7" width="8.88671875" style="2"/>
    <col min="9" max="9" width="8.88671875" style="1"/>
    <col min="10" max="10" width="13.109375" style="2" customWidth="1"/>
    <col min="11" max="12" width="8.88671875" style="1"/>
    <col min="13" max="13" width="10.109375" customWidth="1"/>
    <col min="14" max="14" width="11.109375" style="2" customWidth="1"/>
    <col min="28" max="28" width="8.88671875" style="1"/>
    <col min="29" max="29" width="9.44140625" customWidth="1"/>
    <col min="30" max="30" width="9.5546875" style="2" customWidth="1"/>
  </cols>
  <sheetData>
    <row r="1" spans="1:30" s="4" customFormat="1" x14ac:dyDescent="0.3">
      <c r="A1" s="4" t="s">
        <v>10</v>
      </c>
      <c r="B1" s="4" t="s">
        <v>11</v>
      </c>
      <c r="C1" s="4" t="s">
        <v>12</v>
      </c>
      <c r="D1" s="4" t="s">
        <v>0</v>
      </c>
      <c r="E1" s="4" t="s">
        <v>1</v>
      </c>
      <c r="F1" s="5" t="s">
        <v>2</v>
      </c>
      <c r="G1" s="6" t="s">
        <v>3</v>
      </c>
      <c r="I1" s="7" t="s">
        <v>182</v>
      </c>
      <c r="J1" s="4" t="s">
        <v>2</v>
      </c>
      <c r="K1" s="7"/>
      <c r="L1" s="11" t="s">
        <v>39</v>
      </c>
      <c r="M1" s="12" t="s">
        <v>43</v>
      </c>
      <c r="N1" s="26" t="s">
        <v>44</v>
      </c>
      <c r="AB1" s="8" t="s">
        <v>39</v>
      </c>
      <c r="AC1" s="9" t="s">
        <v>43</v>
      </c>
      <c r="AD1" s="10" t="s">
        <v>44</v>
      </c>
    </row>
    <row r="2" spans="1:30" ht="15" thickBot="1" x14ac:dyDescent="0.35">
      <c r="A2" t="s">
        <v>141</v>
      </c>
      <c r="B2" t="s">
        <v>163</v>
      </c>
      <c r="C2">
        <v>1325</v>
      </c>
      <c r="F2" s="3">
        <v>1325</v>
      </c>
      <c r="G2" s="2">
        <v>2020</v>
      </c>
      <c r="I2" s="1" t="s">
        <v>183</v>
      </c>
      <c r="J2" s="2">
        <f>IF(I2="yes",F2,"")</f>
        <v>1325</v>
      </c>
      <c r="L2" s="1">
        <f>IF(G2&lt;2025,J2,"")</f>
        <v>1325</v>
      </c>
      <c r="M2" t="str">
        <f>IF(G2=2030,J2,"")</f>
        <v/>
      </c>
      <c r="N2" s="2" t="str">
        <f>IF(G2&gt;2039,J2,"")</f>
        <v/>
      </c>
      <c r="AB2" s="1">
        <f t="shared" ref="AB2:AB33" si="0">IF(L2="",NA(),L2)</f>
        <v>1325</v>
      </c>
      <c r="AC2" t="e">
        <f t="shared" ref="AC2:AC33" si="1">IF(M2="",NA(),M2)</f>
        <v>#N/A</v>
      </c>
      <c r="AD2" s="2" t="e">
        <f t="shared" ref="AD2:AD33" si="2">IF(N2="",NA(),N2)</f>
        <v>#N/A</v>
      </c>
    </row>
    <row r="3" spans="1:30" ht="15.6" x14ac:dyDescent="0.3">
      <c r="C3" t="s">
        <v>146</v>
      </c>
      <c r="E3" t="s">
        <v>7</v>
      </c>
      <c r="F3" s="3">
        <v>940</v>
      </c>
      <c r="G3" s="2">
        <v>2030</v>
      </c>
      <c r="I3" s="1" t="s">
        <v>183</v>
      </c>
      <c r="J3" s="2">
        <f t="shared" ref="J3:J17" si="3">IF(I3="yes",F3,"")</f>
        <v>940</v>
      </c>
      <c r="L3" s="1" t="str">
        <f t="shared" ref="L3:L17" si="4">IF(G3&lt;2025,J3,"")</f>
        <v/>
      </c>
      <c r="M3">
        <f t="shared" ref="M3:M17" si="5">IF(G3=2030,J3,"")</f>
        <v>940</v>
      </c>
      <c r="N3" s="2" t="str">
        <f t="shared" ref="N3:N66" si="6">IF(G3&gt;2039,J3,"")</f>
        <v/>
      </c>
      <c r="V3" s="15" t="s">
        <v>188</v>
      </c>
      <c r="W3" s="16" t="s">
        <v>40</v>
      </c>
      <c r="X3" s="17" t="s">
        <v>42</v>
      </c>
      <c r="Y3" s="18" t="s">
        <v>41</v>
      </c>
      <c r="AB3" s="1" t="e">
        <f t="shared" si="0"/>
        <v>#N/A</v>
      </c>
      <c r="AC3">
        <f t="shared" si="1"/>
        <v>940</v>
      </c>
      <c r="AD3" s="2" t="e">
        <f t="shared" si="2"/>
        <v>#N/A</v>
      </c>
    </row>
    <row r="4" spans="1:30" x14ac:dyDescent="0.3">
      <c r="E4" t="s">
        <v>8</v>
      </c>
      <c r="F4" s="3">
        <v>1210</v>
      </c>
      <c r="G4" s="2">
        <v>2030</v>
      </c>
      <c r="I4" s="1" t="s">
        <v>183</v>
      </c>
      <c r="J4" s="2">
        <f t="shared" si="3"/>
        <v>1210</v>
      </c>
      <c r="L4" s="1" t="str">
        <f t="shared" si="4"/>
        <v/>
      </c>
      <c r="M4">
        <f t="shared" si="5"/>
        <v>1210</v>
      </c>
      <c r="N4" s="2" t="str">
        <f t="shared" si="6"/>
        <v/>
      </c>
      <c r="V4" s="19">
        <v>2020</v>
      </c>
      <c r="W4" s="14">
        <f>AVERAGE(L:L)</f>
        <v>1509</v>
      </c>
      <c r="X4" s="13">
        <f>MIN(L:L)</f>
        <v>990</v>
      </c>
      <c r="Y4" s="20">
        <f>MAX(L:L)</f>
        <v>2213</v>
      </c>
      <c r="AB4" s="1" t="e">
        <f t="shared" si="0"/>
        <v>#N/A</v>
      </c>
      <c r="AC4">
        <f t="shared" si="1"/>
        <v>1210</v>
      </c>
      <c r="AD4" s="2" t="e">
        <f t="shared" si="2"/>
        <v>#N/A</v>
      </c>
    </row>
    <row r="5" spans="1:30" x14ac:dyDescent="0.3">
      <c r="C5" t="s">
        <v>147</v>
      </c>
      <c r="E5" t="s">
        <v>7</v>
      </c>
      <c r="F5" s="3">
        <v>820</v>
      </c>
      <c r="G5" s="2">
        <v>2050</v>
      </c>
      <c r="I5" s="1" t="s">
        <v>183</v>
      </c>
      <c r="J5" s="2">
        <f t="shared" si="3"/>
        <v>820</v>
      </c>
      <c r="L5" s="1" t="str">
        <f t="shared" si="4"/>
        <v/>
      </c>
      <c r="M5" t="str">
        <f t="shared" si="5"/>
        <v/>
      </c>
      <c r="N5" s="2">
        <f t="shared" si="6"/>
        <v>820</v>
      </c>
      <c r="V5" s="21">
        <v>2030</v>
      </c>
      <c r="W5" s="14">
        <f>AVERAGE(M:M)</f>
        <v>1075</v>
      </c>
      <c r="X5" s="13">
        <f>MIN(M:M)</f>
        <v>800</v>
      </c>
      <c r="Y5" s="20">
        <f>MAX(M:M)</f>
        <v>1350</v>
      </c>
      <c r="AB5" s="1" t="e">
        <f t="shared" si="0"/>
        <v>#N/A</v>
      </c>
      <c r="AC5" t="e">
        <f t="shared" si="1"/>
        <v>#N/A</v>
      </c>
      <c r="AD5" s="2">
        <f t="shared" si="2"/>
        <v>820</v>
      </c>
    </row>
    <row r="6" spans="1:30" ht="15" thickBot="1" x14ac:dyDescent="0.35">
      <c r="E6" t="s">
        <v>8</v>
      </c>
      <c r="F6" s="3">
        <v>1120</v>
      </c>
      <c r="G6" s="2">
        <v>2050</v>
      </c>
      <c r="I6" s="1" t="s">
        <v>183</v>
      </c>
      <c r="J6" s="2">
        <f t="shared" si="3"/>
        <v>1120</v>
      </c>
      <c r="L6" s="1" t="str">
        <f t="shared" si="4"/>
        <v/>
      </c>
      <c r="M6" t="str">
        <f t="shared" si="5"/>
        <v/>
      </c>
      <c r="N6" s="2">
        <f t="shared" si="6"/>
        <v>1120</v>
      </c>
      <c r="V6" s="22">
        <v>2050</v>
      </c>
      <c r="W6" s="23">
        <f>AVERAGE(N:N)</f>
        <v>897.5</v>
      </c>
      <c r="X6" s="24">
        <f>MIN(N:N)</f>
        <v>650</v>
      </c>
      <c r="Y6" s="25">
        <f>MAX(N:N)</f>
        <v>1120</v>
      </c>
      <c r="AB6" s="1" t="e">
        <f t="shared" si="0"/>
        <v>#N/A</v>
      </c>
      <c r="AC6" t="e">
        <f t="shared" si="1"/>
        <v>#N/A</v>
      </c>
      <c r="AD6" s="2">
        <f t="shared" si="2"/>
        <v>1120</v>
      </c>
    </row>
    <row r="7" spans="1:30" x14ac:dyDescent="0.3">
      <c r="A7" t="s">
        <v>50</v>
      </c>
      <c r="B7" t="s">
        <v>185</v>
      </c>
      <c r="C7" t="s">
        <v>161</v>
      </c>
      <c r="D7" t="s">
        <v>154</v>
      </c>
      <c r="E7" t="s">
        <v>9</v>
      </c>
      <c r="F7" s="3">
        <v>1591</v>
      </c>
      <c r="G7" s="2">
        <v>2019</v>
      </c>
      <c r="I7" s="1" t="s">
        <v>183</v>
      </c>
      <c r="J7" s="2">
        <f t="shared" si="3"/>
        <v>1591</v>
      </c>
      <c r="L7" s="1">
        <f t="shared" si="4"/>
        <v>1591</v>
      </c>
      <c r="M7" t="str">
        <f t="shared" si="5"/>
        <v/>
      </c>
      <c r="N7" s="2" t="str">
        <f t="shared" si="6"/>
        <v/>
      </c>
      <c r="AB7" s="1">
        <f t="shared" si="0"/>
        <v>1591</v>
      </c>
      <c r="AC7" t="e">
        <f t="shared" si="1"/>
        <v>#N/A</v>
      </c>
      <c r="AD7" s="2" t="e">
        <f t="shared" si="2"/>
        <v>#N/A</v>
      </c>
    </row>
    <row r="8" spans="1:30" x14ac:dyDescent="0.3">
      <c r="D8" t="s">
        <v>154</v>
      </c>
      <c r="E8" t="s">
        <v>7</v>
      </c>
      <c r="F8" s="3">
        <v>1055</v>
      </c>
      <c r="G8" s="2">
        <v>2019</v>
      </c>
      <c r="I8" s="1" t="s">
        <v>183</v>
      </c>
      <c r="J8" s="2">
        <f t="shared" si="3"/>
        <v>1055</v>
      </c>
      <c r="L8" s="1">
        <f t="shared" si="4"/>
        <v>1055</v>
      </c>
      <c r="M8" t="str">
        <f t="shared" si="5"/>
        <v/>
      </c>
      <c r="N8" s="2" t="str">
        <f t="shared" si="6"/>
        <v/>
      </c>
      <c r="AB8" s="1">
        <f t="shared" si="0"/>
        <v>1055</v>
      </c>
      <c r="AC8" t="e">
        <f t="shared" si="1"/>
        <v>#N/A</v>
      </c>
      <c r="AD8" s="2" t="e">
        <f t="shared" si="2"/>
        <v>#N/A</v>
      </c>
    </row>
    <row r="9" spans="1:30" x14ac:dyDescent="0.3">
      <c r="D9" t="s">
        <v>154</v>
      </c>
      <c r="E9" t="s">
        <v>8</v>
      </c>
      <c r="F9" s="3">
        <v>2213</v>
      </c>
      <c r="G9" s="2">
        <v>2019</v>
      </c>
      <c r="I9" s="1" t="s">
        <v>183</v>
      </c>
      <c r="J9" s="2">
        <f t="shared" si="3"/>
        <v>2213</v>
      </c>
      <c r="L9" s="1">
        <f t="shared" si="4"/>
        <v>2213</v>
      </c>
      <c r="M9" t="str">
        <f t="shared" si="5"/>
        <v/>
      </c>
      <c r="N9" s="2" t="str">
        <f t="shared" si="6"/>
        <v/>
      </c>
      <c r="AB9" s="1">
        <f t="shared" si="0"/>
        <v>2213</v>
      </c>
      <c r="AC9" t="e">
        <f t="shared" si="1"/>
        <v>#N/A</v>
      </c>
      <c r="AD9" s="2" t="e">
        <f t="shared" si="2"/>
        <v>#N/A</v>
      </c>
    </row>
    <row r="10" spans="1:30" x14ac:dyDescent="0.3">
      <c r="A10" t="s">
        <v>162</v>
      </c>
      <c r="B10" t="s">
        <v>186</v>
      </c>
      <c r="C10" t="s">
        <v>164</v>
      </c>
      <c r="D10" t="s">
        <v>165</v>
      </c>
      <c r="E10" t="s">
        <v>9</v>
      </c>
      <c r="F10" s="3">
        <v>1626</v>
      </c>
      <c r="G10" s="2">
        <v>2022</v>
      </c>
      <c r="I10" s="1" t="s">
        <v>183</v>
      </c>
      <c r="J10" s="2">
        <f t="shared" si="3"/>
        <v>1626</v>
      </c>
      <c r="L10" s="1">
        <f t="shared" si="4"/>
        <v>1626</v>
      </c>
      <c r="M10" t="str">
        <f t="shared" si="5"/>
        <v/>
      </c>
      <c r="N10" s="2" t="str">
        <f t="shared" si="6"/>
        <v/>
      </c>
      <c r="AB10" s="1">
        <f t="shared" si="0"/>
        <v>1626</v>
      </c>
      <c r="AC10" t="e">
        <f t="shared" si="1"/>
        <v>#N/A</v>
      </c>
      <c r="AD10" s="2" t="e">
        <f t="shared" si="2"/>
        <v>#N/A</v>
      </c>
    </row>
    <row r="11" spans="1:30" x14ac:dyDescent="0.3">
      <c r="D11" t="s">
        <v>165</v>
      </c>
      <c r="E11" t="s">
        <v>7</v>
      </c>
      <c r="F11" s="3">
        <v>990</v>
      </c>
      <c r="G11" s="2">
        <v>2022</v>
      </c>
      <c r="I11" s="1" t="s">
        <v>183</v>
      </c>
      <c r="J11" s="2">
        <f t="shared" si="3"/>
        <v>990</v>
      </c>
      <c r="L11" s="1">
        <f t="shared" si="4"/>
        <v>990</v>
      </c>
      <c r="M11" t="str">
        <f t="shared" si="5"/>
        <v/>
      </c>
      <c r="N11" s="2" t="str">
        <f t="shared" si="6"/>
        <v/>
      </c>
      <c r="AB11" s="1">
        <f t="shared" si="0"/>
        <v>990</v>
      </c>
      <c r="AC11" t="e">
        <f t="shared" si="1"/>
        <v>#N/A</v>
      </c>
      <c r="AD11" s="2" t="e">
        <f t="shared" si="2"/>
        <v>#N/A</v>
      </c>
    </row>
    <row r="12" spans="1:30" x14ac:dyDescent="0.3">
      <c r="D12" t="s">
        <v>165</v>
      </c>
      <c r="E12" t="s">
        <v>8</v>
      </c>
      <c r="F12" s="3">
        <v>1998</v>
      </c>
      <c r="G12" s="2">
        <v>2022</v>
      </c>
      <c r="I12" s="1" t="s">
        <v>183</v>
      </c>
      <c r="J12" s="2">
        <f t="shared" si="3"/>
        <v>1998</v>
      </c>
      <c r="L12" s="1">
        <f t="shared" si="4"/>
        <v>1998</v>
      </c>
      <c r="M12" t="str">
        <f t="shared" si="5"/>
        <v/>
      </c>
      <c r="N12" s="2" t="str">
        <f t="shared" si="6"/>
        <v/>
      </c>
      <c r="AB12" s="1">
        <f t="shared" si="0"/>
        <v>1998</v>
      </c>
      <c r="AC12" t="e">
        <f t="shared" si="1"/>
        <v>#N/A</v>
      </c>
      <c r="AD12" s="2" t="e">
        <f t="shared" si="2"/>
        <v>#N/A</v>
      </c>
    </row>
    <row r="13" spans="1:30" x14ac:dyDescent="0.3">
      <c r="C13" t="s">
        <v>166</v>
      </c>
      <c r="D13" t="s">
        <v>158</v>
      </c>
      <c r="F13" s="3">
        <v>1274</v>
      </c>
      <c r="G13" s="2">
        <v>2022</v>
      </c>
      <c r="I13" s="1" t="s">
        <v>183</v>
      </c>
      <c r="J13" s="2">
        <f t="shared" si="3"/>
        <v>1274</v>
      </c>
      <c r="L13" s="1">
        <f t="shared" si="4"/>
        <v>1274</v>
      </c>
      <c r="M13" t="str">
        <f t="shared" si="5"/>
        <v/>
      </c>
      <c r="N13" s="2" t="str">
        <f t="shared" si="6"/>
        <v/>
      </c>
      <c r="AB13" s="1">
        <f t="shared" si="0"/>
        <v>1274</v>
      </c>
      <c r="AC13" t="e">
        <f t="shared" si="1"/>
        <v>#N/A</v>
      </c>
      <c r="AD13" s="2" t="e">
        <f t="shared" si="2"/>
        <v>#N/A</v>
      </c>
    </row>
    <row r="14" spans="1:30" x14ac:dyDescent="0.3">
      <c r="A14" t="s">
        <v>69</v>
      </c>
      <c r="B14" t="s">
        <v>187</v>
      </c>
      <c r="C14" t="s">
        <v>167</v>
      </c>
      <c r="E14" t="s">
        <v>7</v>
      </c>
      <c r="F14" s="3">
        <v>800</v>
      </c>
      <c r="G14" s="2">
        <v>2030</v>
      </c>
      <c r="I14" s="1" t="s">
        <v>183</v>
      </c>
      <c r="J14" s="2">
        <f t="shared" si="3"/>
        <v>800</v>
      </c>
      <c r="L14" s="1" t="str">
        <f t="shared" si="4"/>
        <v/>
      </c>
      <c r="M14">
        <f t="shared" si="5"/>
        <v>800</v>
      </c>
      <c r="N14" s="2" t="str">
        <f t="shared" si="6"/>
        <v/>
      </c>
      <c r="AB14" s="1" t="e">
        <f t="shared" si="0"/>
        <v>#N/A</v>
      </c>
      <c r="AC14">
        <f t="shared" si="1"/>
        <v>800</v>
      </c>
      <c r="AD14" s="2" t="e">
        <f t="shared" si="2"/>
        <v>#N/A</v>
      </c>
    </row>
    <row r="15" spans="1:30" x14ac:dyDescent="0.3">
      <c r="E15" t="s">
        <v>8</v>
      </c>
      <c r="F15" s="3">
        <v>1350</v>
      </c>
      <c r="G15" s="2">
        <v>2030</v>
      </c>
      <c r="I15" s="1" t="s">
        <v>183</v>
      </c>
      <c r="J15" s="2">
        <f t="shared" si="3"/>
        <v>1350</v>
      </c>
      <c r="L15" s="1" t="str">
        <f t="shared" si="4"/>
        <v/>
      </c>
      <c r="M15">
        <f t="shared" si="5"/>
        <v>1350</v>
      </c>
      <c r="N15" s="2" t="str">
        <f t="shared" si="6"/>
        <v/>
      </c>
      <c r="AB15" s="1" t="e">
        <f t="shared" si="0"/>
        <v>#N/A</v>
      </c>
      <c r="AC15">
        <f t="shared" si="1"/>
        <v>1350</v>
      </c>
      <c r="AD15" s="2" t="e">
        <f t="shared" si="2"/>
        <v>#N/A</v>
      </c>
    </row>
    <row r="16" spans="1:30" x14ac:dyDescent="0.3">
      <c r="C16" t="s">
        <v>168</v>
      </c>
      <c r="E16" t="s">
        <v>7</v>
      </c>
      <c r="F16" s="3">
        <v>650</v>
      </c>
      <c r="G16" s="2">
        <v>2050</v>
      </c>
      <c r="I16" s="1" t="s">
        <v>183</v>
      </c>
      <c r="J16" s="2">
        <f t="shared" si="3"/>
        <v>650</v>
      </c>
      <c r="L16" s="1" t="str">
        <f t="shared" si="4"/>
        <v/>
      </c>
      <c r="M16" t="str">
        <f t="shared" si="5"/>
        <v/>
      </c>
      <c r="N16" s="2">
        <f t="shared" si="6"/>
        <v>650</v>
      </c>
      <c r="AB16" s="1" t="e">
        <f t="shared" si="0"/>
        <v>#N/A</v>
      </c>
      <c r="AC16" t="e">
        <f t="shared" si="1"/>
        <v>#N/A</v>
      </c>
      <c r="AD16" s="2">
        <f t="shared" si="2"/>
        <v>650</v>
      </c>
    </row>
    <row r="17" spans="5:30" x14ac:dyDescent="0.3">
      <c r="E17" t="s">
        <v>8</v>
      </c>
      <c r="F17" s="3">
        <v>1000</v>
      </c>
      <c r="G17" s="2">
        <v>2050</v>
      </c>
      <c r="I17" s="1" t="s">
        <v>183</v>
      </c>
      <c r="J17" s="2">
        <f t="shared" si="3"/>
        <v>1000</v>
      </c>
      <c r="L17" s="1" t="str">
        <f t="shared" si="4"/>
        <v/>
      </c>
      <c r="M17" t="str">
        <f t="shared" si="5"/>
        <v/>
      </c>
      <c r="N17" s="2">
        <f t="shared" si="6"/>
        <v>1000</v>
      </c>
      <c r="AB17" s="1" t="e">
        <f t="shared" si="0"/>
        <v>#N/A</v>
      </c>
      <c r="AC17" t="e">
        <f t="shared" si="1"/>
        <v>#N/A</v>
      </c>
      <c r="AD17" s="2">
        <f t="shared" si="2"/>
        <v>1000</v>
      </c>
    </row>
    <row r="18" spans="5:30" x14ac:dyDescent="0.3">
      <c r="AB18" s="1" t="e">
        <f t="shared" si="0"/>
        <v>#N/A</v>
      </c>
      <c r="AC18" t="e">
        <f t="shared" si="1"/>
        <v>#N/A</v>
      </c>
      <c r="AD18" s="2" t="e">
        <f t="shared" si="2"/>
        <v>#N/A</v>
      </c>
    </row>
    <row r="19" spans="5:30" x14ac:dyDescent="0.3">
      <c r="AB19" s="1" t="e">
        <f t="shared" si="0"/>
        <v>#N/A</v>
      </c>
      <c r="AC19" t="e">
        <f t="shared" si="1"/>
        <v>#N/A</v>
      </c>
      <c r="AD19" s="2" t="e">
        <f t="shared" si="2"/>
        <v>#N/A</v>
      </c>
    </row>
    <row r="20" spans="5:30" x14ac:dyDescent="0.3">
      <c r="AB20" s="1" t="e">
        <f t="shared" si="0"/>
        <v>#N/A</v>
      </c>
      <c r="AC20" t="e">
        <f t="shared" si="1"/>
        <v>#N/A</v>
      </c>
      <c r="AD20" s="2" t="e">
        <f t="shared" si="2"/>
        <v>#N/A</v>
      </c>
    </row>
    <row r="21" spans="5:30" x14ac:dyDescent="0.3">
      <c r="AB21" s="1" t="e">
        <f t="shared" si="0"/>
        <v>#N/A</v>
      </c>
      <c r="AC21" t="e">
        <f t="shared" si="1"/>
        <v>#N/A</v>
      </c>
      <c r="AD21" s="2" t="e">
        <f t="shared" si="2"/>
        <v>#N/A</v>
      </c>
    </row>
    <row r="22" spans="5:30" x14ac:dyDescent="0.3">
      <c r="AB22" s="1" t="e">
        <f t="shared" si="0"/>
        <v>#N/A</v>
      </c>
      <c r="AC22" t="e">
        <f t="shared" si="1"/>
        <v>#N/A</v>
      </c>
      <c r="AD22" s="2" t="e">
        <f t="shared" si="2"/>
        <v>#N/A</v>
      </c>
    </row>
    <row r="23" spans="5:30" x14ac:dyDescent="0.3">
      <c r="AB23" s="1" t="e">
        <f t="shared" si="0"/>
        <v>#N/A</v>
      </c>
      <c r="AC23" t="e">
        <f t="shared" si="1"/>
        <v>#N/A</v>
      </c>
      <c r="AD23" s="2" t="e">
        <f t="shared" si="2"/>
        <v>#N/A</v>
      </c>
    </row>
    <row r="24" spans="5:30" x14ac:dyDescent="0.3">
      <c r="F24"/>
      <c r="N24" s="2" t="str">
        <f t="shared" si="6"/>
        <v/>
      </c>
      <c r="AB24" s="1" t="e">
        <f t="shared" si="0"/>
        <v>#N/A</v>
      </c>
      <c r="AC24" t="e">
        <f t="shared" si="1"/>
        <v>#N/A</v>
      </c>
      <c r="AD24" s="2" t="e">
        <f t="shared" si="2"/>
        <v>#N/A</v>
      </c>
    </row>
    <row r="25" spans="5:30" x14ac:dyDescent="0.3">
      <c r="F25"/>
      <c r="N25" s="2" t="str">
        <f t="shared" si="6"/>
        <v/>
      </c>
      <c r="AB25" s="1" t="e">
        <f t="shared" si="0"/>
        <v>#N/A</v>
      </c>
      <c r="AC25" t="e">
        <f t="shared" si="1"/>
        <v>#N/A</v>
      </c>
      <c r="AD25" s="2" t="e">
        <f t="shared" si="2"/>
        <v>#N/A</v>
      </c>
    </row>
    <row r="26" spans="5:30" x14ac:dyDescent="0.3">
      <c r="F26"/>
      <c r="N26" s="2" t="str">
        <f t="shared" si="6"/>
        <v/>
      </c>
      <c r="AB26" s="1" t="e">
        <f t="shared" si="0"/>
        <v>#N/A</v>
      </c>
      <c r="AC26" t="e">
        <f t="shared" si="1"/>
        <v>#N/A</v>
      </c>
      <c r="AD26" s="2" t="e">
        <f t="shared" si="2"/>
        <v>#N/A</v>
      </c>
    </row>
    <row r="27" spans="5:30" x14ac:dyDescent="0.3">
      <c r="F27"/>
      <c r="N27" s="2" t="str">
        <f t="shared" si="6"/>
        <v/>
      </c>
      <c r="AB27" s="1" t="e">
        <f t="shared" si="0"/>
        <v>#N/A</v>
      </c>
      <c r="AC27" t="e">
        <f t="shared" si="1"/>
        <v>#N/A</v>
      </c>
      <c r="AD27" s="2" t="e">
        <f t="shared" si="2"/>
        <v>#N/A</v>
      </c>
    </row>
    <row r="28" spans="5:30" x14ac:dyDescent="0.3">
      <c r="F28"/>
      <c r="N28" s="2" t="str">
        <f t="shared" si="6"/>
        <v/>
      </c>
      <c r="AB28" s="1" t="e">
        <f t="shared" si="0"/>
        <v>#N/A</v>
      </c>
      <c r="AC28" t="e">
        <f t="shared" si="1"/>
        <v>#N/A</v>
      </c>
      <c r="AD28" s="2" t="e">
        <f t="shared" si="2"/>
        <v>#N/A</v>
      </c>
    </row>
    <row r="29" spans="5:30" x14ac:dyDescent="0.3">
      <c r="F29"/>
      <c r="N29" s="2" t="str">
        <f>IF(G29&gt;2039,J29,"")</f>
        <v/>
      </c>
      <c r="AB29" s="1" t="e">
        <f t="shared" si="0"/>
        <v>#N/A</v>
      </c>
      <c r="AC29" t="e">
        <f t="shared" si="1"/>
        <v>#N/A</v>
      </c>
      <c r="AD29" s="2" t="e">
        <f t="shared" si="2"/>
        <v>#N/A</v>
      </c>
    </row>
    <row r="30" spans="5:30" x14ac:dyDescent="0.3">
      <c r="F30"/>
      <c r="N30" s="2" t="str">
        <f t="shared" si="6"/>
        <v/>
      </c>
      <c r="AB30" s="1" t="e">
        <f t="shared" si="0"/>
        <v>#N/A</v>
      </c>
      <c r="AC30" t="e">
        <f t="shared" si="1"/>
        <v>#N/A</v>
      </c>
      <c r="AD30" s="2" t="e">
        <f t="shared" si="2"/>
        <v>#N/A</v>
      </c>
    </row>
    <row r="31" spans="5:30" x14ac:dyDescent="0.3">
      <c r="F31"/>
      <c r="N31" s="2" t="str">
        <f t="shared" si="6"/>
        <v/>
      </c>
      <c r="AB31" s="1" t="e">
        <f t="shared" si="0"/>
        <v>#N/A</v>
      </c>
      <c r="AC31" t="e">
        <f t="shared" si="1"/>
        <v>#N/A</v>
      </c>
      <c r="AD31" s="2" t="e">
        <f t="shared" si="2"/>
        <v>#N/A</v>
      </c>
    </row>
    <row r="32" spans="5:30" x14ac:dyDescent="0.3">
      <c r="F32"/>
      <c r="N32" s="2" t="str">
        <f t="shared" si="6"/>
        <v/>
      </c>
      <c r="AB32" s="1" t="e">
        <f t="shared" si="0"/>
        <v>#N/A</v>
      </c>
      <c r="AC32" t="e">
        <f t="shared" si="1"/>
        <v>#N/A</v>
      </c>
      <c r="AD32" s="2" t="e">
        <f t="shared" si="2"/>
        <v>#N/A</v>
      </c>
    </row>
    <row r="33" spans="6:30" x14ac:dyDescent="0.3">
      <c r="F33"/>
      <c r="N33" s="2" t="str">
        <f t="shared" si="6"/>
        <v/>
      </c>
      <c r="AB33" s="1" t="e">
        <f t="shared" si="0"/>
        <v>#N/A</v>
      </c>
      <c r="AC33" t="e">
        <f t="shared" si="1"/>
        <v>#N/A</v>
      </c>
      <c r="AD33" s="2" t="e">
        <f t="shared" si="2"/>
        <v>#N/A</v>
      </c>
    </row>
    <row r="34" spans="6:30" x14ac:dyDescent="0.3">
      <c r="F34"/>
      <c r="N34" s="2" t="str">
        <f t="shared" si="6"/>
        <v/>
      </c>
      <c r="AB34" s="1" t="e">
        <f t="shared" ref="AB34:AB65" si="7">IF(L34="",NA(),L34)</f>
        <v>#N/A</v>
      </c>
      <c r="AC34" t="e">
        <f t="shared" ref="AC34:AC65" si="8">IF(M34="",NA(),M34)</f>
        <v>#N/A</v>
      </c>
      <c r="AD34" s="2" t="e">
        <f t="shared" ref="AD34:AD65" si="9">IF(N34="",NA(),N34)</f>
        <v>#N/A</v>
      </c>
    </row>
    <row r="35" spans="6:30" x14ac:dyDescent="0.3">
      <c r="F35"/>
      <c r="N35" s="2" t="str">
        <f t="shared" si="6"/>
        <v/>
      </c>
      <c r="AB35" s="1" t="e">
        <f t="shared" si="7"/>
        <v>#N/A</v>
      </c>
      <c r="AC35" t="e">
        <f t="shared" si="8"/>
        <v>#N/A</v>
      </c>
      <c r="AD35" s="2" t="e">
        <f t="shared" si="9"/>
        <v>#N/A</v>
      </c>
    </row>
    <row r="36" spans="6:30" x14ac:dyDescent="0.3">
      <c r="F36"/>
      <c r="N36" s="2" t="str">
        <f t="shared" si="6"/>
        <v/>
      </c>
      <c r="AB36" s="1" t="e">
        <f t="shared" si="7"/>
        <v>#N/A</v>
      </c>
      <c r="AC36" t="e">
        <f t="shared" si="8"/>
        <v>#N/A</v>
      </c>
      <c r="AD36" s="2" t="e">
        <f t="shared" si="9"/>
        <v>#N/A</v>
      </c>
    </row>
    <row r="37" spans="6:30" x14ac:dyDescent="0.3">
      <c r="F37"/>
      <c r="N37" s="2" t="str">
        <f t="shared" si="6"/>
        <v/>
      </c>
      <c r="AB37" s="1" t="e">
        <f t="shared" si="7"/>
        <v>#N/A</v>
      </c>
      <c r="AC37" t="e">
        <f t="shared" si="8"/>
        <v>#N/A</v>
      </c>
      <c r="AD37" s="2" t="e">
        <f t="shared" si="9"/>
        <v>#N/A</v>
      </c>
    </row>
    <row r="38" spans="6:30" x14ac:dyDescent="0.3">
      <c r="F38"/>
      <c r="N38" s="2" t="str">
        <f t="shared" si="6"/>
        <v/>
      </c>
      <c r="AB38" s="1" t="e">
        <f t="shared" si="7"/>
        <v>#N/A</v>
      </c>
      <c r="AC38" t="e">
        <f t="shared" si="8"/>
        <v>#N/A</v>
      </c>
      <c r="AD38" s="2" t="e">
        <f t="shared" si="9"/>
        <v>#N/A</v>
      </c>
    </row>
    <row r="39" spans="6:30" x14ac:dyDescent="0.3">
      <c r="F39"/>
      <c r="N39" s="2" t="str">
        <f t="shared" si="6"/>
        <v/>
      </c>
      <c r="AB39" s="1" t="e">
        <f t="shared" si="7"/>
        <v>#N/A</v>
      </c>
      <c r="AC39" t="e">
        <f t="shared" si="8"/>
        <v>#N/A</v>
      </c>
      <c r="AD39" s="2" t="e">
        <f t="shared" si="9"/>
        <v>#N/A</v>
      </c>
    </row>
    <row r="40" spans="6:30" x14ac:dyDescent="0.3">
      <c r="F40"/>
      <c r="N40" s="2" t="str">
        <f t="shared" si="6"/>
        <v/>
      </c>
      <c r="AB40" s="1" t="e">
        <f t="shared" si="7"/>
        <v>#N/A</v>
      </c>
      <c r="AC40" t="e">
        <f t="shared" si="8"/>
        <v>#N/A</v>
      </c>
      <c r="AD40" s="2" t="e">
        <f t="shared" si="9"/>
        <v>#N/A</v>
      </c>
    </row>
    <row r="41" spans="6:30" x14ac:dyDescent="0.3">
      <c r="F41"/>
      <c r="N41" s="2" t="str">
        <f t="shared" si="6"/>
        <v/>
      </c>
      <c r="AB41" s="1" t="e">
        <f t="shared" si="7"/>
        <v>#N/A</v>
      </c>
      <c r="AC41" t="e">
        <f t="shared" si="8"/>
        <v>#N/A</v>
      </c>
      <c r="AD41" s="2" t="e">
        <f t="shared" si="9"/>
        <v>#N/A</v>
      </c>
    </row>
    <row r="42" spans="6:30" x14ac:dyDescent="0.3">
      <c r="F42"/>
      <c r="N42" s="2" t="str">
        <f t="shared" si="6"/>
        <v/>
      </c>
      <c r="AB42" s="1" t="e">
        <f t="shared" si="7"/>
        <v>#N/A</v>
      </c>
      <c r="AC42" t="e">
        <f t="shared" si="8"/>
        <v>#N/A</v>
      </c>
      <c r="AD42" s="2" t="e">
        <f t="shared" si="9"/>
        <v>#N/A</v>
      </c>
    </row>
    <row r="43" spans="6:30" x14ac:dyDescent="0.3">
      <c r="F43"/>
      <c r="N43" s="2" t="str">
        <f t="shared" si="6"/>
        <v/>
      </c>
      <c r="AB43" s="1" t="e">
        <f t="shared" si="7"/>
        <v>#N/A</v>
      </c>
      <c r="AC43" t="e">
        <f t="shared" si="8"/>
        <v>#N/A</v>
      </c>
      <c r="AD43" s="2" t="e">
        <f t="shared" si="9"/>
        <v>#N/A</v>
      </c>
    </row>
    <row r="44" spans="6:30" x14ac:dyDescent="0.3">
      <c r="F44"/>
      <c r="N44" s="2" t="str">
        <f t="shared" si="6"/>
        <v/>
      </c>
      <c r="AB44" s="1" t="e">
        <f t="shared" si="7"/>
        <v>#N/A</v>
      </c>
      <c r="AC44" t="e">
        <f t="shared" si="8"/>
        <v>#N/A</v>
      </c>
      <c r="AD44" s="2" t="e">
        <f t="shared" si="9"/>
        <v>#N/A</v>
      </c>
    </row>
    <row r="45" spans="6:30" x14ac:dyDescent="0.3">
      <c r="F45"/>
      <c r="N45" s="2" t="str">
        <f t="shared" si="6"/>
        <v/>
      </c>
      <c r="AB45" s="1" t="e">
        <f t="shared" si="7"/>
        <v>#N/A</v>
      </c>
      <c r="AC45" t="e">
        <f t="shared" si="8"/>
        <v>#N/A</v>
      </c>
      <c r="AD45" s="2" t="e">
        <f t="shared" si="9"/>
        <v>#N/A</v>
      </c>
    </row>
    <row r="46" spans="6:30" x14ac:dyDescent="0.3">
      <c r="F46"/>
      <c r="N46" s="2" t="str">
        <f t="shared" si="6"/>
        <v/>
      </c>
      <c r="AB46" s="1" t="e">
        <f t="shared" si="7"/>
        <v>#N/A</v>
      </c>
      <c r="AC46" t="e">
        <f t="shared" si="8"/>
        <v>#N/A</v>
      </c>
      <c r="AD46" s="2" t="e">
        <f t="shared" si="9"/>
        <v>#N/A</v>
      </c>
    </row>
    <row r="47" spans="6:30" x14ac:dyDescent="0.3">
      <c r="F47"/>
      <c r="N47" s="2" t="str">
        <f t="shared" si="6"/>
        <v/>
      </c>
      <c r="AB47" s="1" t="e">
        <f t="shared" si="7"/>
        <v>#N/A</v>
      </c>
      <c r="AC47" t="e">
        <f t="shared" si="8"/>
        <v>#N/A</v>
      </c>
      <c r="AD47" s="2" t="e">
        <f t="shared" si="9"/>
        <v>#N/A</v>
      </c>
    </row>
    <row r="48" spans="6:30" x14ac:dyDescent="0.3">
      <c r="N48" s="2" t="str">
        <f t="shared" si="6"/>
        <v/>
      </c>
      <c r="AB48" s="1" t="e">
        <f t="shared" si="7"/>
        <v>#N/A</v>
      </c>
      <c r="AC48" t="e">
        <f t="shared" si="8"/>
        <v>#N/A</v>
      </c>
      <c r="AD48" s="2" t="e">
        <f t="shared" si="9"/>
        <v>#N/A</v>
      </c>
    </row>
    <row r="49" spans="13:30" x14ac:dyDescent="0.3">
      <c r="N49" s="2" t="str">
        <f t="shared" si="6"/>
        <v/>
      </c>
      <c r="AB49" s="1" t="e">
        <f t="shared" si="7"/>
        <v>#N/A</v>
      </c>
      <c r="AC49" t="e">
        <f t="shared" si="8"/>
        <v>#N/A</v>
      </c>
      <c r="AD49" s="2" t="e">
        <f t="shared" si="9"/>
        <v>#N/A</v>
      </c>
    </row>
    <row r="50" spans="13:30" x14ac:dyDescent="0.3">
      <c r="N50" s="2" t="str">
        <f t="shared" si="6"/>
        <v/>
      </c>
      <c r="AB50" s="1" t="e">
        <f t="shared" si="7"/>
        <v>#N/A</v>
      </c>
      <c r="AC50" t="e">
        <f t="shared" si="8"/>
        <v>#N/A</v>
      </c>
      <c r="AD50" s="2" t="e">
        <f t="shared" si="9"/>
        <v>#N/A</v>
      </c>
    </row>
    <row r="51" spans="13:30" x14ac:dyDescent="0.3">
      <c r="N51" s="2" t="str">
        <f t="shared" si="6"/>
        <v/>
      </c>
      <c r="AB51" s="1" t="e">
        <f t="shared" si="7"/>
        <v>#N/A</v>
      </c>
      <c r="AC51" t="e">
        <f t="shared" si="8"/>
        <v>#N/A</v>
      </c>
      <c r="AD51" s="2" t="e">
        <f t="shared" si="9"/>
        <v>#N/A</v>
      </c>
    </row>
    <row r="52" spans="13:30" x14ac:dyDescent="0.3">
      <c r="N52" s="2" t="str">
        <f t="shared" si="6"/>
        <v/>
      </c>
      <c r="AB52" s="1" t="e">
        <f t="shared" si="7"/>
        <v>#N/A</v>
      </c>
      <c r="AC52" t="e">
        <f t="shared" si="8"/>
        <v>#N/A</v>
      </c>
      <c r="AD52" s="2" t="e">
        <f t="shared" si="9"/>
        <v>#N/A</v>
      </c>
    </row>
    <row r="53" spans="13:30" x14ac:dyDescent="0.3">
      <c r="N53" s="2" t="str">
        <f t="shared" si="6"/>
        <v/>
      </c>
      <c r="AB53" s="1" t="e">
        <f t="shared" si="7"/>
        <v>#N/A</v>
      </c>
      <c r="AC53" t="e">
        <f t="shared" si="8"/>
        <v>#N/A</v>
      </c>
      <c r="AD53" s="2" t="e">
        <f t="shared" si="9"/>
        <v>#N/A</v>
      </c>
    </row>
    <row r="54" spans="13:30" x14ac:dyDescent="0.3">
      <c r="M54" t="str">
        <f t="shared" ref="M54:M85" si="10">IF(G54=2030,F54,"")</f>
        <v/>
      </c>
      <c r="N54" s="2" t="str">
        <f t="shared" si="6"/>
        <v/>
      </c>
      <c r="AB54" s="1" t="e">
        <f t="shared" si="7"/>
        <v>#N/A</v>
      </c>
      <c r="AC54" t="e">
        <f t="shared" si="8"/>
        <v>#N/A</v>
      </c>
      <c r="AD54" s="2" t="e">
        <f t="shared" si="9"/>
        <v>#N/A</v>
      </c>
    </row>
    <row r="55" spans="13:30" x14ac:dyDescent="0.3">
      <c r="M55" t="str">
        <f t="shared" si="10"/>
        <v/>
      </c>
      <c r="N55" s="2" t="str">
        <f t="shared" si="6"/>
        <v/>
      </c>
      <c r="AB55" s="1" t="e">
        <f t="shared" si="7"/>
        <v>#N/A</v>
      </c>
      <c r="AC55" t="e">
        <f t="shared" si="8"/>
        <v>#N/A</v>
      </c>
      <c r="AD55" s="2" t="e">
        <f t="shared" si="9"/>
        <v>#N/A</v>
      </c>
    </row>
    <row r="56" spans="13:30" x14ac:dyDescent="0.3">
      <c r="M56" t="str">
        <f t="shared" si="10"/>
        <v/>
      </c>
      <c r="N56" s="2" t="str">
        <f t="shared" si="6"/>
        <v/>
      </c>
      <c r="AB56" s="1" t="e">
        <f t="shared" si="7"/>
        <v>#N/A</v>
      </c>
      <c r="AC56" t="e">
        <f t="shared" si="8"/>
        <v>#N/A</v>
      </c>
      <c r="AD56" s="2" t="e">
        <f t="shared" si="9"/>
        <v>#N/A</v>
      </c>
    </row>
    <row r="57" spans="13:30" x14ac:dyDescent="0.3">
      <c r="M57" t="str">
        <f t="shared" si="10"/>
        <v/>
      </c>
      <c r="N57" s="2" t="str">
        <f t="shared" si="6"/>
        <v/>
      </c>
      <c r="AB57" s="1" t="e">
        <f t="shared" si="7"/>
        <v>#N/A</v>
      </c>
      <c r="AC57" t="e">
        <f t="shared" si="8"/>
        <v>#N/A</v>
      </c>
      <c r="AD57" s="2" t="e">
        <f t="shared" si="9"/>
        <v>#N/A</v>
      </c>
    </row>
    <row r="58" spans="13:30" x14ac:dyDescent="0.3">
      <c r="M58" t="str">
        <f t="shared" si="10"/>
        <v/>
      </c>
      <c r="N58" s="2" t="str">
        <f t="shared" si="6"/>
        <v/>
      </c>
      <c r="AB58" s="1" t="e">
        <f t="shared" si="7"/>
        <v>#N/A</v>
      </c>
      <c r="AC58" t="e">
        <f t="shared" si="8"/>
        <v>#N/A</v>
      </c>
      <c r="AD58" s="2" t="e">
        <f t="shared" si="9"/>
        <v>#N/A</v>
      </c>
    </row>
    <row r="59" spans="13:30" x14ac:dyDescent="0.3">
      <c r="M59" t="str">
        <f t="shared" si="10"/>
        <v/>
      </c>
      <c r="N59" s="2" t="str">
        <f t="shared" si="6"/>
        <v/>
      </c>
      <c r="AB59" s="1" t="e">
        <f t="shared" si="7"/>
        <v>#N/A</v>
      </c>
      <c r="AC59" t="e">
        <f t="shared" si="8"/>
        <v>#N/A</v>
      </c>
      <c r="AD59" s="2" t="e">
        <f t="shared" si="9"/>
        <v>#N/A</v>
      </c>
    </row>
    <row r="60" spans="13:30" x14ac:dyDescent="0.3">
      <c r="M60" t="str">
        <f t="shared" si="10"/>
        <v/>
      </c>
      <c r="N60" s="2" t="str">
        <f t="shared" si="6"/>
        <v/>
      </c>
      <c r="AB60" s="1" t="e">
        <f t="shared" si="7"/>
        <v>#N/A</v>
      </c>
      <c r="AC60" t="e">
        <f t="shared" si="8"/>
        <v>#N/A</v>
      </c>
      <c r="AD60" s="2" t="e">
        <f t="shared" si="9"/>
        <v>#N/A</v>
      </c>
    </row>
    <row r="61" spans="13:30" x14ac:dyDescent="0.3">
      <c r="M61" t="str">
        <f t="shared" si="10"/>
        <v/>
      </c>
      <c r="N61" s="2" t="str">
        <f t="shared" si="6"/>
        <v/>
      </c>
      <c r="AB61" s="1" t="e">
        <f t="shared" si="7"/>
        <v>#N/A</v>
      </c>
      <c r="AC61" t="e">
        <f t="shared" si="8"/>
        <v>#N/A</v>
      </c>
      <c r="AD61" s="2" t="e">
        <f t="shared" si="9"/>
        <v>#N/A</v>
      </c>
    </row>
    <row r="62" spans="13:30" x14ac:dyDescent="0.3">
      <c r="M62" t="str">
        <f t="shared" si="10"/>
        <v/>
      </c>
      <c r="N62" s="2" t="str">
        <f t="shared" si="6"/>
        <v/>
      </c>
      <c r="AB62" s="1" t="e">
        <f t="shared" si="7"/>
        <v>#N/A</v>
      </c>
      <c r="AC62" t="e">
        <f t="shared" si="8"/>
        <v>#N/A</v>
      </c>
      <c r="AD62" s="2" t="e">
        <f t="shared" si="9"/>
        <v>#N/A</v>
      </c>
    </row>
    <row r="63" spans="13:30" x14ac:dyDescent="0.3">
      <c r="M63" t="str">
        <f t="shared" si="10"/>
        <v/>
      </c>
      <c r="N63" s="2" t="str">
        <f t="shared" si="6"/>
        <v/>
      </c>
      <c r="AB63" s="1" t="e">
        <f t="shared" si="7"/>
        <v>#N/A</v>
      </c>
      <c r="AC63" t="e">
        <f t="shared" si="8"/>
        <v>#N/A</v>
      </c>
      <c r="AD63" s="2" t="e">
        <f t="shared" si="9"/>
        <v>#N/A</v>
      </c>
    </row>
    <row r="64" spans="13:30" x14ac:dyDescent="0.3">
      <c r="M64" t="str">
        <f t="shared" si="10"/>
        <v/>
      </c>
      <c r="N64" s="2" t="str">
        <f t="shared" si="6"/>
        <v/>
      </c>
      <c r="AB64" s="1" t="e">
        <f t="shared" si="7"/>
        <v>#N/A</v>
      </c>
      <c r="AC64" t="e">
        <f t="shared" si="8"/>
        <v>#N/A</v>
      </c>
      <c r="AD64" s="2" t="e">
        <f t="shared" si="9"/>
        <v>#N/A</v>
      </c>
    </row>
    <row r="65" spans="13:30" x14ac:dyDescent="0.3">
      <c r="M65" t="str">
        <f t="shared" si="10"/>
        <v/>
      </c>
      <c r="N65" s="2" t="str">
        <f t="shared" si="6"/>
        <v/>
      </c>
      <c r="AB65" s="1" t="e">
        <f t="shared" si="7"/>
        <v>#N/A</v>
      </c>
      <c r="AC65" t="e">
        <f t="shared" si="8"/>
        <v>#N/A</v>
      </c>
      <c r="AD65" s="2" t="e">
        <f t="shared" si="9"/>
        <v>#N/A</v>
      </c>
    </row>
    <row r="66" spans="13:30" x14ac:dyDescent="0.3">
      <c r="M66" t="str">
        <f t="shared" si="10"/>
        <v/>
      </c>
      <c r="N66" s="2" t="str">
        <f t="shared" si="6"/>
        <v/>
      </c>
      <c r="AB66" s="1" t="e">
        <f t="shared" ref="AB66:AB97" si="11">IF(L66="",NA(),L66)</f>
        <v>#N/A</v>
      </c>
      <c r="AC66" t="e">
        <f t="shared" ref="AC66:AC97" si="12">IF(M66="",NA(),M66)</f>
        <v>#N/A</v>
      </c>
      <c r="AD66" s="2" t="e">
        <f t="shared" ref="AD66:AD97" si="13">IF(N66="",NA(),N66)</f>
        <v>#N/A</v>
      </c>
    </row>
    <row r="67" spans="13:30" x14ac:dyDescent="0.3">
      <c r="M67" t="str">
        <f t="shared" si="10"/>
        <v/>
      </c>
      <c r="N67" s="2" t="str">
        <f t="shared" ref="N67:N99" si="14">IF(G67&gt;2039,J67,"")</f>
        <v/>
      </c>
      <c r="AB67" s="1" t="e">
        <f t="shared" si="11"/>
        <v>#N/A</v>
      </c>
      <c r="AC67" t="e">
        <f t="shared" si="12"/>
        <v>#N/A</v>
      </c>
      <c r="AD67" s="2" t="e">
        <f t="shared" si="13"/>
        <v>#N/A</v>
      </c>
    </row>
    <row r="68" spans="13:30" x14ac:dyDescent="0.3">
      <c r="M68" t="str">
        <f t="shared" si="10"/>
        <v/>
      </c>
      <c r="N68" s="2" t="str">
        <f t="shared" si="14"/>
        <v/>
      </c>
      <c r="AB68" s="1" t="e">
        <f t="shared" si="11"/>
        <v>#N/A</v>
      </c>
      <c r="AC68" t="e">
        <f t="shared" si="12"/>
        <v>#N/A</v>
      </c>
      <c r="AD68" s="2" t="e">
        <f t="shared" si="13"/>
        <v>#N/A</v>
      </c>
    </row>
    <row r="69" spans="13:30" x14ac:dyDescent="0.3">
      <c r="M69" t="str">
        <f t="shared" si="10"/>
        <v/>
      </c>
      <c r="N69" s="2" t="str">
        <f t="shared" si="14"/>
        <v/>
      </c>
      <c r="AB69" s="1" t="e">
        <f t="shared" si="11"/>
        <v>#N/A</v>
      </c>
      <c r="AC69" t="e">
        <f t="shared" si="12"/>
        <v>#N/A</v>
      </c>
      <c r="AD69" s="2" t="e">
        <f t="shared" si="13"/>
        <v>#N/A</v>
      </c>
    </row>
    <row r="70" spans="13:30" x14ac:dyDescent="0.3">
      <c r="M70" t="str">
        <f t="shared" si="10"/>
        <v/>
      </c>
      <c r="N70" s="2" t="str">
        <f t="shared" si="14"/>
        <v/>
      </c>
      <c r="AB70" s="1" t="e">
        <f t="shared" si="11"/>
        <v>#N/A</v>
      </c>
      <c r="AC70" t="e">
        <f t="shared" si="12"/>
        <v>#N/A</v>
      </c>
      <c r="AD70" s="2" t="e">
        <f t="shared" si="13"/>
        <v>#N/A</v>
      </c>
    </row>
    <row r="71" spans="13:30" x14ac:dyDescent="0.3">
      <c r="M71" t="str">
        <f t="shared" si="10"/>
        <v/>
      </c>
      <c r="N71" s="2" t="str">
        <f t="shared" si="14"/>
        <v/>
      </c>
      <c r="AB71" s="1" t="e">
        <f t="shared" si="11"/>
        <v>#N/A</v>
      </c>
      <c r="AC71" t="e">
        <f t="shared" si="12"/>
        <v>#N/A</v>
      </c>
      <c r="AD71" s="2" t="e">
        <f t="shared" si="13"/>
        <v>#N/A</v>
      </c>
    </row>
    <row r="72" spans="13:30" x14ac:dyDescent="0.3">
      <c r="M72" t="str">
        <f t="shared" si="10"/>
        <v/>
      </c>
      <c r="N72" s="2" t="str">
        <f t="shared" si="14"/>
        <v/>
      </c>
      <c r="AB72" s="1" t="e">
        <f t="shared" si="11"/>
        <v>#N/A</v>
      </c>
      <c r="AC72" t="e">
        <f t="shared" si="12"/>
        <v>#N/A</v>
      </c>
      <c r="AD72" s="2" t="e">
        <f t="shared" si="13"/>
        <v>#N/A</v>
      </c>
    </row>
    <row r="73" spans="13:30" x14ac:dyDescent="0.3">
      <c r="M73" t="str">
        <f t="shared" si="10"/>
        <v/>
      </c>
      <c r="N73" s="2" t="str">
        <f t="shared" si="14"/>
        <v/>
      </c>
      <c r="AB73" s="1" t="e">
        <f t="shared" si="11"/>
        <v>#N/A</v>
      </c>
      <c r="AC73" t="e">
        <f t="shared" si="12"/>
        <v>#N/A</v>
      </c>
      <c r="AD73" s="2" t="e">
        <f t="shared" si="13"/>
        <v>#N/A</v>
      </c>
    </row>
    <row r="74" spans="13:30" x14ac:dyDescent="0.3">
      <c r="M74" t="str">
        <f t="shared" si="10"/>
        <v/>
      </c>
      <c r="N74" s="2" t="str">
        <f t="shared" si="14"/>
        <v/>
      </c>
      <c r="AB74" s="1" t="e">
        <f t="shared" si="11"/>
        <v>#N/A</v>
      </c>
      <c r="AC74" t="e">
        <f t="shared" si="12"/>
        <v>#N/A</v>
      </c>
      <c r="AD74" s="2" t="e">
        <f t="shared" si="13"/>
        <v>#N/A</v>
      </c>
    </row>
    <row r="75" spans="13:30" x14ac:dyDescent="0.3">
      <c r="M75" t="str">
        <f t="shared" si="10"/>
        <v/>
      </c>
      <c r="N75" s="2" t="str">
        <f t="shared" si="14"/>
        <v/>
      </c>
      <c r="AB75" s="1" t="e">
        <f t="shared" si="11"/>
        <v>#N/A</v>
      </c>
      <c r="AC75" t="e">
        <f t="shared" si="12"/>
        <v>#N/A</v>
      </c>
      <c r="AD75" s="2" t="e">
        <f t="shared" si="13"/>
        <v>#N/A</v>
      </c>
    </row>
    <row r="76" spans="13:30" x14ac:dyDescent="0.3">
      <c r="M76" t="str">
        <f t="shared" si="10"/>
        <v/>
      </c>
      <c r="N76" s="2" t="str">
        <f t="shared" si="14"/>
        <v/>
      </c>
      <c r="AB76" s="1" t="e">
        <f t="shared" si="11"/>
        <v>#N/A</v>
      </c>
      <c r="AC76" t="e">
        <f t="shared" si="12"/>
        <v>#N/A</v>
      </c>
      <c r="AD76" s="2" t="e">
        <f t="shared" si="13"/>
        <v>#N/A</v>
      </c>
    </row>
    <row r="77" spans="13:30" x14ac:dyDescent="0.3">
      <c r="M77" t="str">
        <f t="shared" si="10"/>
        <v/>
      </c>
      <c r="N77" s="2" t="str">
        <f t="shared" si="14"/>
        <v/>
      </c>
      <c r="AB77" s="1" t="e">
        <f t="shared" si="11"/>
        <v>#N/A</v>
      </c>
      <c r="AC77" t="e">
        <f t="shared" si="12"/>
        <v>#N/A</v>
      </c>
      <c r="AD77" s="2" t="e">
        <f t="shared" si="13"/>
        <v>#N/A</v>
      </c>
    </row>
    <row r="78" spans="13:30" x14ac:dyDescent="0.3">
      <c r="M78" t="str">
        <f t="shared" si="10"/>
        <v/>
      </c>
      <c r="N78" s="2" t="str">
        <f t="shared" si="14"/>
        <v/>
      </c>
      <c r="AB78" s="1" t="e">
        <f t="shared" si="11"/>
        <v>#N/A</v>
      </c>
      <c r="AC78" t="e">
        <f t="shared" si="12"/>
        <v>#N/A</v>
      </c>
      <c r="AD78" s="2" t="e">
        <f t="shared" si="13"/>
        <v>#N/A</v>
      </c>
    </row>
    <row r="79" spans="13:30" x14ac:dyDescent="0.3">
      <c r="M79" t="str">
        <f t="shared" si="10"/>
        <v/>
      </c>
      <c r="N79" s="2" t="str">
        <f t="shared" si="14"/>
        <v/>
      </c>
      <c r="AB79" s="1" t="e">
        <f t="shared" si="11"/>
        <v>#N/A</v>
      </c>
      <c r="AC79" t="e">
        <f t="shared" si="12"/>
        <v>#N/A</v>
      </c>
      <c r="AD79" s="2" t="e">
        <f t="shared" si="13"/>
        <v>#N/A</v>
      </c>
    </row>
    <row r="80" spans="13:30" x14ac:dyDescent="0.3">
      <c r="M80" t="str">
        <f t="shared" si="10"/>
        <v/>
      </c>
      <c r="N80" s="2" t="str">
        <f t="shared" si="14"/>
        <v/>
      </c>
      <c r="AB80" s="1" t="e">
        <f t="shared" si="11"/>
        <v>#N/A</v>
      </c>
      <c r="AC80" t="e">
        <f t="shared" si="12"/>
        <v>#N/A</v>
      </c>
      <c r="AD80" s="2" t="e">
        <f t="shared" si="13"/>
        <v>#N/A</v>
      </c>
    </row>
    <row r="81" spans="13:30" x14ac:dyDescent="0.3">
      <c r="M81" t="str">
        <f t="shared" si="10"/>
        <v/>
      </c>
      <c r="N81" s="2" t="str">
        <f t="shared" si="14"/>
        <v/>
      </c>
      <c r="AB81" s="1" t="e">
        <f t="shared" si="11"/>
        <v>#N/A</v>
      </c>
      <c r="AC81" t="e">
        <f t="shared" si="12"/>
        <v>#N/A</v>
      </c>
      <c r="AD81" s="2" t="e">
        <f t="shared" si="13"/>
        <v>#N/A</v>
      </c>
    </row>
    <row r="82" spans="13:30" x14ac:dyDescent="0.3">
      <c r="M82" t="str">
        <f t="shared" si="10"/>
        <v/>
      </c>
      <c r="N82" s="2" t="str">
        <f t="shared" si="14"/>
        <v/>
      </c>
      <c r="AB82" s="1" t="e">
        <f t="shared" si="11"/>
        <v>#N/A</v>
      </c>
      <c r="AC82" t="e">
        <f t="shared" si="12"/>
        <v>#N/A</v>
      </c>
      <c r="AD82" s="2" t="e">
        <f t="shared" si="13"/>
        <v>#N/A</v>
      </c>
    </row>
    <row r="83" spans="13:30" x14ac:dyDescent="0.3">
      <c r="M83" t="str">
        <f t="shared" si="10"/>
        <v/>
      </c>
      <c r="N83" s="2" t="str">
        <f t="shared" si="14"/>
        <v/>
      </c>
      <c r="AB83" s="1" t="e">
        <f t="shared" si="11"/>
        <v>#N/A</v>
      </c>
      <c r="AC83" t="e">
        <f t="shared" si="12"/>
        <v>#N/A</v>
      </c>
      <c r="AD83" s="2" t="e">
        <f t="shared" si="13"/>
        <v>#N/A</v>
      </c>
    </row>
    <row r="84" spans="13:30" x14ac:dyDescent="0.3">
      <c r="M84" t="str">
        <f t="shared" si="10"/>
        <v/>
      </c>
      <c r="N84" s="2" t="str">
        <f t="shared" si="14"/>
        <v/>
      </c>
      <c r="AB84" s="1" t="e">
        <f t="shared" si="11"/>
        <v>#N/A</v>
      </c>
      <c r="AC84" t="e">
        <f t="shared" si="12"/>
        <v>#N/A</v>
      </c>
      <c r="AD84" s="2" t="e">
        <f t="shared" si="13"/>
        <v>#N/A</v>
      </c>
    </row>
    <row r="85" spans="13:30" x14ac:dyDescent="0.3">
      <c r="M85" t="str">
        <f t="shared" si="10"/>
        <v/>
      </c>
      <c r="N85" s="2" t="str">
        <f t="shared" si="14"/>
        <v/>
      </c>
      <c r="AB85" s="1" t="e">
        <f t="shared" si="11"/>
        <v>#N/A</v>
      </c>
      <c r="AC85" t="e">
        <f t="shared" si="12"/>
        <v>#N/A</v>
      </c>
      <c r="AD85" s="2" t="e">
        <f t="shared" si="13"/>
        <v>#N/A</v>
      </c>
    </row>
    <row r="86" spans="13:30" x14ac:dyDescent="0.3">
      <c r="M86" t="str">
        <f t="shared" ref="M86:M117" si="15">IF(G86=2030,F86,"")</f>
        <v/>
      </c>
      <c r="N86" s="2" t="str">
        <f t="shared" si="14"/>
        <v/>
      </c>
      <c r="AB86" s="1" t="e">
        <f t="shared" si="11"/>
        <v>#N/A</v>
      </c>
      <c r="AC86" t="e">
        <f t="shared" si="12"/>
        <v>#N/A</v>
      </c>
      <c r="AD86" s="2" t="e">
        <f t="shared" si="13"/>
        <v>#N/A</v>
      </c>
    </row>
    <row r="87" spans="13:30" x14ac:dyDescent="0.3">
      <c r="M87" t="str">
        <f t="shared" si="15"/>
        <v/>
      </c>
      <c r="N87" s="2" t="str">
        <f t="shared" si="14"/>
        <v/>
      </c>
      <c r="AB87" s="1" t="e">
        <f t="shared" si="11"/>
        <v>#N/A</v>
      </c>
      <c r="AC87" t="e">
        <f t="shared" si="12"/>
        <v>#N/A</v>
      </c>
      <c r="AD87" s="2" t="e">
        <f t="shared" si="13"/>
        <v>#N/A</v>
      </c>
    </row>
    <row r="88" spans="13:30" x14ac:dyDescent="0.3">
      <c r="M88" t="str">
        <f t="shared" si="15"/>
        <v/>
      </c>
      <c r="N88" s="2" t="str">
        <f t="shared" si="14"/>
        <v/>
      </c>
      <c r="AB88" s="1" t="e">
        <f t="shared" si="11"/>
        <v>#N/A</v>
      </c>
      <c r="AC88" t="e">
        <f t="shared" si="12"/>
        <v>#N/A</v>
      </c>
      <c r="AD88" s="2" t="e">
        <f t="shared" si="13"/>
        <v>#N/A</v>
      </c>
    </row>
    <row r="89" spans="13:30" x14ac:dyDescent="0.3">
      <c r="M89" t="str">
        <f t="shared" si="15"/>
        <v/>
      </c>
      <c r="N89" s="2" t="str">
        <f t="shared" si="14"/>
        <v/>
      </c>
      <c r="AB89" s="1" t="e">
        <f t="shared" si="11"/>
        <v>#N/A</v>
      </c>
      <c r="AC89" t="e">
        <f t="shared" si="12"/>
        <v>#N/A</v>
      </c>
      <c r="AD89" s="2" t="e">
        <f t="shared" si="13"/>
        <v>#N/A</v>
      </c>
    </row>
    <row r="90" spans="13:30" x14ac:dyDescent="0.3">
      <c r="M90" t="str">
        <f t="shared" si="15"/>
        <v/>
      </c>
      <c r="N90" s="2" t="str">
        <f t="shared" si="14"/>
        <v/>
      </c>
      <c r="AB90" s="1" t="e">
        <f t="shared" si="11"/>
        <v>#N/A</v>
      </c>
      <c r="AC90" t="e">
        <f t="shared" si="12"/>
        <v>#N/A</v>
      </c>
      <c r="AD90" s="2" t="e">
        <f t="shared" si="13"/>
        <v>#N/A</v>
      </c>
    </row>
    <row r="91" spans="13:30" x14ac:dyDescent="0.3">
      <c r="M91" t="str">
        <f t="shared" si="15"/>
        <v/>
      </c>
      <c r="N91" s="2" t="str">
        <f t="shared" si="14"/>
        <v/>
      </c>
      <c r="AB91" s="1" t="e">
        <f t="shared" si="11"/>
        <v>#N/A</v>
      </c>
      <c r="AC91" t="e">
        <f t="shared" si="12"/>
        <v>#N/A</v>
      </c>
      <c r="AD91" s="2" t="e">
        <f t="shared" si="13"/>
        <v>#N/A</v>
      </c>
    </row>
    <row r="92" spans="13:30" x14ac:dyDescent="0.3">
      <c r="M92" t="str">
        <f t="shared" si="15"/>
        <v/>
      </c>
      <c r="N92" s="2" t="str">
        <f t="shared" si="14"/>
        <v/>
      </c>
      <c r="AB92" s="1" t="e">
        <f t="shared" si="11"/>
        <v>#N/A</v>
      </c>
      <c r="AC92" t="e">
        <f t="shared" si="12"/>
        <v>#N/A</v>
      </c>
      <c r="AD92" s="2" t="e">
        <f t="shared" si="13"/>
        <v>#N/A</v>
      </c>
    </row>
    <row r="93" spans="13:30" x14ac:dyDescent="0.3">
      <c r="M93" t="str">
        <f t="shared" si="15"/>
        <v/>
      </c>
      <c r="N93" s="2" t="str">
        <f t="shared" si="14"/>
        <v/>
      </c>
      <c r="AB93" s="1" t="e">
        <f t="shared" si="11"/>
        <v>#N/A</v>
      </c>
      <c r="AC93" t="e">
        <f t="shared" si="12"/>
        <v>#N/A</v>
      </c>
      <c r="AD93" s="2" t="e">
        <f t="shared" si="13"/>
        <v>#N/A</v>
      </c>
    </row>
    <row r="94" spans="13:30" x14ac:dyDescent="0.3">
      <c r="M94" t="str">
        <f t="shared" si="15"/>
        <v/>
      </c>
      <c r="N94" s="2" t="str">
        <f t="shared" si="14"/>
        <v/>
      </c>
      <c r="AB94" s="1" t="e">
        <f t="shared" si="11"/>
        <v>#N/A</v>
      </c>
      <c r="AC94" t="e">
        <f t="shared" si="12"/>
        <v>#N/A</v>
      </c>
      <c r="AD94" s="2" t="e">
        <f t="shared" si="13"/>
        <v>#N/A</v>
      </c>
    </row>
    <row r="95" spans="13:30" x14ac:dyDescent="0.3">
      <c r="M95" t="str">
        <f t="shared" si="15"/>
        <v/>
      </c>
      <c r="N95" s="2" t="str">
        <f t="shared" si="14"/>
        <v/>
      </c>
      <c r="AB95" s="1" t="e">
        <f t="shared" si="11"/>
        <v>#N/A</v>
      </c>
      <c r="AC95" t="e">
        <f t="shared" si="12"/>
        <v>#N/A</v>
      </c>
      <c r="AD95" s="2" t="e">
        <f t="shared" si="13"/>
        <v>#N/A</v>
      </c>
    </row>
    <row r="96" spans="13:30" x14ac:dyDescent="0.3">
      <c r="M96" t="str">
        <f t="shared" si="15"/>
        <v/>
      </c>
      <c r="N96" s="2" t="str">
        <f t="shared" si="14"/>
        <v/>
      </c>
      <c r="AB96" s="1" t="e">
        <f t="shared" si="11"/>
        <v>#N/A</v>
      </c>
      <c r="AC96" t="e">
        <f t="shared" si="12"/>
        <v>#N/A</v>
      </c>
      <c r="AD96" s="2" t="e">
        <f t="shared" si="13"/>
        <v>#N/A</v>
      </c>
    </row>
    <row r="97" spans="13:30" x14ac:dyDescent="0.3">
      <c r="M97" t="str">
        <f t="shared" si="15"/>
        <v/>
      </c>
      <c r="N97" s="2" t="str">
        <f t="shared" si="14"/>
        <v/>
      </c>
      <c r="AB97" s="1" t="e">
        <f t="shared" si="11"/>
        <v>#N/A</v>
      </c>
      <c r="AC97" t="e">
        <f t="shared" si="12"/>
        <v>#N/A</v>
      </c>
      <c r="AD97" s="2" t="e">
        <f t="shared" si="13"/>
        <v>#N/A</v>
      </c>
    </row>
    <row r="98" spans="13:30" x14ac:dyDescent="0.3">
      <c r="M98" t="str">
        <f t="shared" si="15"/>
        <v/>
      </c>
      <c r="N98" s="2" t="str">
        <f t="shared" si="14"/>
        <v/>
      </c>
      <c r="AB98" s="1" t="e">
        <f t="shared" ref="AB98:AB120" si="16">IF(L98="",NA(),L98)</f>
        <v>#N/A</v>
      </c>
      <c r="AC98" t="e">
        <f t="shared" ref="AC98:AC120" si="17">IF(M98="",NA(),M98)</f>
        <v>#N/A</v>
      </c>
      <c r="AD98" s="2" t="e">
        <f t="shared" ref="AD98:AD120" si="18">IF(N98="",NA(),N98)</f>
        <v>#N/A</v>
      </c>
    </row>
    <row r="99" spans="13:30" x14ac:dyDescent="0.3">
      <c r="M99" t="str">
        <f t="shared" si="15"/>
        <v/>
      </c>
      <c r="N99" s="2" t="str">
        <f t="shared" si="14"/>
        <v/>
      </c>
      <c r="AB99" s="1" t="e">
        <f t="shared" si="16"/>
        <v>#N/A</v>
      </c>
      <c r="AC99" t="e">
        <f t="shared" si="17"/>
        <v>#N/A</v>
      </c>
      <c r="AD99" s="2" t="e">
        <f t="shared" si="18"/>
        <v>#N/A</v>
      </c>
    </row>
    <row r="100" spans="13:30" x14ac:dyDescent="0.3">
      <c r="M100" t="str">
        <f t="shared" si="15"/>
        <v/>
      </c>
      <c r="AB100" s="1" t="e">
        <f t="shared" si="16"/>
        <v>#N/A</v>
      </c>
      <c r="AC100" t="e">
        <f t="shared" si="17"/>
        <v>#N/A</v>
      </c>
      <c r="AD100" s="2" t="e">
        <f t="shared" si="18"/>
        <v>#N/A</v>
      </c>
    </row>
    <row r="101" spans="13:30" x14ac:dyDescent="0.3">
      <c r="M101" t="str">
        <f t="shared" si="15"/>
        <v/>
      </c>
      <c r="AB101" s="1" t="e">
        <f t="shared" si="16"/>
        <v>#N/A</v>
      </c>
      <c r="AC101" t="e">
        <f t="shared" si="17"/>
        <v>#N/A</v>
      </c>
      <c r="AD101" s="2" t="e">
        <f t="shared" si="18"/>
        <v>#N/A</v>
      </c>
    </row>
    <row r="102" spans="13:30" x14ac:dyDescent="0.3">
      <c r="M102" t="str">
        <f t="shared" si="15"/>
        <v/>
      </c>
      <c r="AB102" s="1" t="e">
        <f t="shared" si="16"/>
        <v>#N/A</v>
      </c>
      <c r="AC102" t="e">
        <f t="shared" si="17"/>
        <v>#N/A</v>
      </c>
      <c r="AD102" s="2" t="e">
        <f t="shared" si="18"/>
        <v>#N/A</v>
      </c>
    </row>
    <row r="103" spans="13:30" x14ac:dyDescent="0.3">
      <c r="M103" t="str">
        <f t="shared" si="15"/>
        <v/>
      </c>
      <c r="AB103" s="1" t="e">
        <f t="shared" si="16"/>
        <v>#N/A</v>
      </c>
      <c r="AC103" t="e">
        <f t="shared" si="17"/>
        <v>#N/A</v>
      </c>
      <c r="AD103" s="2" t="e">
        <f t="shared" si="18"/>
        <v>#N/A</v>
      </c>
    </row>
    <row r="104" spans="13:30" x14ac:dyDescent="0.3">
      <c r="M104" t="str">
        <f t="shared" si="15"/>
        <v/>
      </c>
      <c r="AB104" s="1" t="e">
        <f t="shared" si="16"/>
        <v>#N/A</v>
      </c>
      <c r="AC104" t="e">
        <f t="shared" si="17"/>
        <v>#N/A</v>
      </c>
      <c r="AD104" s="2" t="e">
        <f t="shared" si="18"/>
        <v>#N/A</v>
      </c>
    </row>
    <row r="105" spans="13:30" x14ac:dyDescent="0.3">
      <c r="M105" t="str">
        <f t="shared" si="15"/>
        <v/>
      </c>
      <c r="AB105" s="1" t="e">
        <f t="shared" si="16"/>
        <v>#N/A</v>
      </c>
      <c r="AC105" t="e">
        <f t="shared" si="17"/>
        <v>#N/A</v>
      </c>
      <c r="AD105" s="2" t="e">
        <f t="shared" si="18"/>
        <v>#N/A</v>
      </c>
    </row>
    <row r="106" spans="13:30" x14ac:dyDescent="0.3">
      <c r="M106" t="str">
        <f t="shared" si="15"/>
        <v/>
      </c>
      <c r="AB106" s="1" t="e">
        <f t="shared" si="16"/>
        <v>#N/A</v>
      </c>
      <c r="AC106" t="e">
        <f t="shared" si="17"/>
        <v>#N/A</v>
      </c>
      <c r="AD106" s="2" t="e">
        <f t="shared" si="18"/>
        <v>#N/A</v>
      </c>
    </row>
    <row r="107" spans="13:30" x14ac:dyDescent="0.3">
      <c r="M107" t="str">
        <f t="shared" si="15"/>
        <v/>
      </c>
      <c r="AB107" s="1" t="e">
        <f t="shared" si="16"/>
        <v>#N/A</v>
      </c>
      <c r="AC107" t="e">
        <f t="shared" si="17"/>
        <v>#N/A</v>
      </c>
      <c r="AD107" s="2" t="e">
        <f t="shared" si="18"/>
        <v>#N/A</v>
      </c>
    </row>
    <row r="108" spans="13:30" x14ac:dyDescent="0.3">
      <c r="M108" t="str">
        <f t="shared" si="15"/>
        <v/>
      </c>
      <c r="AB108" s="1" t="e">
        <f t="shared" si="16"/>
        <v>#N/A</v>
      </c>
      <c r="AC108" t="e">
        <f t="shared" si="17"/>
        <v>#N/A</v>
      </c>
      <c r="AD108" s="2" t="e">
        <f t="shared" si="18"/>
        <v>#N/A</v>
      </c>
    </row>
    <row r="109" spans="13:30" x14ac:dyDescent="0.3">
      <c r="M109" t="str">
        <f t="shared" si="15"/>
        <v/>
      </c>
      <c r="AB109" s="1" t="e">
        <f t="shared" si="16"/>
        <v>#N/A</v>
      </c>
      <c r="AC109" t="e">
        <f t="shared" si="17"/>
        <v>#N/A</v>
      </c>
      <c r="AD109" s="2" t="e">
        <f t="shared" si="18"/>
        <v>#N/A</v>
      </c>
    </row>
    <row r="110" spans="13:30" x14ac:dyDescent="0.3">
      <c r="M110" t="str">
        <f t="shared" si="15"/>
        <v/>
      </c>
      <c r="AB110" s="1" t="e">
        <f t="shared" si="16"/>
        <v>#N/A</v>
      </c>
      <c r="AC110" t="e">
        <f t="shared" si="17"/>
        <v>#N/A</v>
      </c>
      <c r="AD110" s="2" t="e">
        <f t="shared" si="18"/>
        <v>#N/A</v>
      </c>
    </row>
    <row r="111" spans="13:30" x14ac:dyDescent="0.3">
      <c r="M111" t="str">
        <f t="shared" si="15"/>
        <v/>
      </c>
      <c r="AB111" s="1" t="e">
        <f t="shared" si="16"/>
        <v>#N/A</v>
      </c>
      <c r="AC111" t="e">
        <f t="shared" si="17"/>
        <v>#N/A</v>
      </c>
      <c r="AD111" s="2" t="e">
        <f t="shared" si="18"/>
        <v>#N/A</v>
      </c>
    </row>
    <row r="112" spans="13:30" x14ac:dyDescent="0.3">
      <c r="M112" t="str">
        <f t="shared" si="15"/>
        <v/>
      </c>
      <c r="AB112" s="1" t="e">
        <f t="shared" si="16"/>
        <v>#N/A</v>
      </c>
      <c r="AC112" t="e">
        <f t="shared" si="17"/>
        <v>#N/A</v>
      </c>
      <c r="AD112" s="2" t="e">
        <f t="shared" si="18"/>
        <v>#N/A</v>
      </c>
    </row>
    <row r="113" spans="13:30" x14ac:dyDescent="0.3">
      <c r="M113" t="str">
        <f t="shared" si="15"/>
        <v/>
      </c>
      <c r="AB113" s="1" t="e">
        <f t="shared" si="16"/>
        <v>#N/A</v>
      </c>
      <c r="AC113" t="e">
        <f t="shared" si="17"/>
        <v>#N/A</v>
      </c>
      <c r="AD113" s="2" t="e">
        <f t="shared" si="18"/>
        <v>#N/A</v>
      </c>
    </row>
    <row r="114" spans="13:30" x14ac:dyDescent="0.3">
      <c r="M114" t="str">
        <f t="shared" si="15"/>
        <v/>
      </c>
      <c r="AB114" s="1" t="e">
        <f t="shared" si="16"/>
        <v>#N/A</v>
      </c>
      <c r="AC114" t="e">
        <f t="shared" si="17"/>
        <v>#N/A</v>
      </c>
      <c r="AD114" s="2" t="e">
        <f t="shared" si="18"/>
        <v>#N/A</v>
      </c>
    </row>
    <row r="115" spans="13:30" x14ac:dyDescent="0.3">
      <c r="M115" t="str">
        <f t="shared" si="15"/>
        <v/>
      </c>
      <c r="AB115" s="1" t="e">
        <f t="shared" si="16"/>
        <v>#N/A</v>
      </c>
      <c r="AC115" t="e">
        <f t="shared" si="17"/>
        <v>#N/A</v>
      </c>
      <c r="AD115" s="2" t="e">
        <f t="shared" si="18"/>
        <v>#N/A</v>
      </c>
    </row>
    <row r="116" spans="13:30" x14ac:dyDescent="0.3">
      <c r="M116" t="str">
        <f t="shared" si="15"/>
        <v/>
      </c>
      <c r="AB116" s="1" t="e">
        <f t="shared" si="16"/>
        <v>#N/A</v>
      </c>
      <c r="AC116" t="e">
        <f t="shared" si="17"/>
        <v>#N/A</v>
      </c>
      <c r="AD116" s="2" t="e">
        <f t="shared" si="18"/>
        <v>#N/A</v>
      </c>
    </row>
    <row r="117" spans="13:30" x14ac:dyDescent="0.3">
      <c r="M117" t="str">
        <f t="shared" si="15"/>
        <v/>
      </c>
      <c r="AB117" s="1" t="e">
        <f t="shared" si="16"/>
        <v>#N/A</v>
      </c>
      <c r="AC117" t="e">
        <f t="shared" si="17"/>
        <v>#N/A</v>
      </c>
      <c r="AD117" s="2" t="e">
        <f t="shared" si="18"/>
        <v>#N/A</v>
      </c>
    </row>
    <row r="118" spans="13:30" x14ac:dyDescent="0.3">
      <c r="M118" t="str">
        <f t="shared" ref="M118:M134" si="19">IF(G118=2030,F118,"")</f>
        <v/>
      </c>
      <c r="AB118" s="1" t="e">
        <f t="shared" si="16"/>
        <v>#N/A</v>
      </c>
      <c r="AC118" t="e">
        <f t="shared" si="17"/>
        <v>#N/A</v>
      </c>
      <c r="AD118" s="2" t="e">
        <f t="shared" si="18"/>
        <v>#N/A</v>
      </c>
    </row>
    <row r="119" spans="13:30" x14ac:dyDescent="0.3">
      <c r="M119" t="str">
        <f t="shared" si="19"/>
        <v/>
      </c>
      <c r="AB119" s="1" t="e">
        <f t="shared" si="16"/>
        <v>#N/A</v>
      </c>
      <c r="AC119" t="e">
        <f t="shared" si="17"/>
        <v>#N/A</v>
      </c>
      <c r="AD119" s="2" t="e">
        <f t="shared" si="18"/>
        <v>#N/A</v>
      </c>
    </row>
    <row r="120" spans="13:30" x14ac:dyDescent="0.3">
      <c r="M120" t="str">
        <f t="shared" si="19"/>
        <v/>
      </c>
      <c r="AB120" s="1" t="e">
        <f t="shared" si="16"/>
        <v>#N/A</v>
      </c>
      <c r="AC120" t="e">
        <f t="shared" si="17"/>
        <v>#N/A</v>
      </c>
      <c r="AD120" s="2" t="e">
        <f t="shared" si="18"/>
        <v>#N/A</v>
      </c>
    </row>
    <row r="121" spans="13:30" x14ac:dyDescent="0.3">
      <c r="M121" t="str">
        <f t="shared" si="19"/>
        <v/>
      </c>
      <c r="AC121" t="str">
        <f t="shared" ref="AC121:AC134" si="20">IF(V121=2030,S121,"")</f>
        <v/>
      </c>
    </row>
    <row r="122" spans="13:30" x14ac:dyDescent="0.3">
      <c r="M122" t="str">
        <f t="shared" si="19"/>
        <v/>
      </c>
      <c r="AC122" t="str">
        <f t="shared" si="20"/>
        <v/>
      </c>
    </row>
    <row r="123" spans="13:30" x14ac:dyDescent="0.3">
      <c r="M123" t="str">
        <f t="shared" si="19"/>
        <v/>
      </c>
      <c r="AC123" t="str">
        <f t="shared" si="20"/>
        <v/>
      </c>
    </row>
    <row r="124" spans="13:30" x14ac:dyDescent="0.3">
      <c r="M124" t="str">
        <f t="shared" si="19"/>
        <v/>
      </c>
      <c r="AC124" t="str">
        <f t="shared" si="20"/>
        <v/>
      </c>
    </row>
    <row r="125" spans="13:30" x14ac:dyDescent="0.3">
      <c r="M125" t="str">
        <f t="shared" si="19"/>
        <v/>
      </c>
      <c r="AC125" t="str">
        <f t="shared" si="20"/>
        <v/>
      </c>
    </row>
    <row r="126" spans="13:30" x14ac:dyDescent="0.3">
      <c r="M126" t="str">
        <f t="shared" si="19"/>
        <v/>
      </c>
      <c r="AC126" t="str">
        <f t="shared" si="20"/>
        <v/>
      </c>
    </row>
    <row r="127" spans="13:30" x14ac:dyDescent="0.3">
      <c r="M127" t="str">
        <f t="shared" si="19"/>
        <v/>
      </c>
      <c r="AC127" t="str">
        <f t="shared" si="20"/>
        <v/>
      </c>
    </row>
    <row r="128" spans="13:30" x14ac:dyDescent="0.3">
      <c r="M128" t="str">
        <f t="shared" si="19"/>
        <v/>
      </c>
      <c r="AC128" t="str">
        <f t="shared" si="20"/>
        <v/>
      </c>
    </row>
    <row r="129" spans="13:29" x14ac:dyDescent="0.3">
      <c r="M129" t="str">
        <f t="shared" si="19"/>
        <v/>
      </c>
      <c r="AC129" t="str">
        <f t="shared" si="20"/>
        <v/>
      </c>
    </row>
    <row r="130" spans="13:29" x14ac:dyDescent="0.3">
      <c r="M130" t="str">
        <f t="shared" si="19"/>
        <v/>
      </c>
      <c r="AC130" t="str">
        <f t="shared" si="20"/>
        <v/>
      </c>
    </row>
    <row r="131" spans="13:29" x14ac:dyDescent="0.3">
      <c r="M131" t="str">
        <f t="shared" si="19"/>
        <v/>
      </c>
      <c r="AC131" t="str">
        <f t="shared" si="20"/>
        <v/>
      </c>
    </row>
    <row r="132" spans="13:29" x14ac:dyDescent="0.3">
      <c r="M132" t="str">
        <f t="shared" si="19"/>
        <v/>
      </c>
      <c r="AC132" t="str">
        <f t="shared" si="20"/>
        <v/>
      </c>
    </row>
    <row r="133" spans="13:29" x14ac:dyDescent="0.3">
      <c r="M133" t="str">
        <f t="shared" si="19"/>
        <v/>
      </c>
      <c r="AC133" t="str">
        <f t="shared" si="20"/>
        <v/>
      </c>
    </row>
    <row r="134" spans="13:29" x14ac:dyDescent="0.3">
      <c r="M134" t="str">
        <f t="shared" si="19"/>
        <v/>
      </c>
      <c r="AC134" t="str">
        <f t="shared" si="20"/>
        <v/>
      </c>
    </row>
  </sheetData>
  <conditionalFormatting sqref="G1 G24:G1048576">
    <cfRule type="cellIs" dxfId="5" priority="6" operator="between">
      <formula>2039</formula>
      <formula>2050</formula>
    </cfRule>
  </conditionalFormatting>
  <conditionalFormatting sqref="G1:G1048576">
    <cfRule type="cellIs" dxfId="4" priority="1" operator="between">
      <formula>2010</formula>
      <formula>2029</formula>
    </cfRule>
    <cfRule type="cellIs" dxfId="3" priority="2" operator="equal">
      <formula>2030</formula>
    </cfRule>
  </conditionalFormatting>
  <conditionalFormatting sqref="G2:G23">
    <cfRule type="cellIs" dxfId="2" priority="3" operator="equal">
      <formula>2050</formula>
    </cfRule>
  </conditionalFormatting>
  <conditionalFormatting sqref="I1:I1048576">
    <cfRule type="cellIs" dxfId="1" priority="7" operator="equal">
      <formula>"no"</formula>
    </cfRule>
    <cfRule type="cellIs" dxfId="0" priority="8" operator="equal">
      <formula>"yes"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Li-BESS</vt:lpstr>
      <vt:lpstr>ALK EL</vt:lpstr>
      <vt:lpstr>PEM FC</vt:lpstr>
      <vt:lpstr>H2 Tank</vt:lpstr>
      <vt:lpstr>PV</vt:lpstr>
      <vt:lpstr>Onshore WT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superchi</dc:creator>
  <cp:lastModifiedBy>Francesco Superchi</cp:lastModifiedBy>
  <dcterms:created xsi:type="dcterms:W3CDTF">2024-01-09T15:43:55Z</dcterms:created>
  <dcterms:modified xsi:type="dcterms:W3CDTF">2026-02-02T11:36:15Z</dcterms:modified>
</cp:coreProperties>
</file>